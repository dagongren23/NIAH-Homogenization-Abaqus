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9c316367047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22d797b6628441c"/>
    <x:sheet xmlns:r="http://schemas.openxmlformats.org/officeDocument/2006/relationships" name="Workflow" sheetId="2" r:id="R99a16850e20e450a"/>
    <x:sheet xmlns:r="http://schemas.openxmlformats.org/officeDocument/2006/relationships" name="Case Settings" sheetId="3" r:id="R1105705f322b4e30"/>
    <x:sheet xmlns:r="http://schemas.openxmlformats.org/officeDocument/2006/relationships" name="Hardware" sheetId="4" r:id="R0e6adad88ca04ceb"/>
    <x:sheet xmlns:r="http://schemas.openxmlformats.org/officeDocument/2006/relationships" name="File Index" sheetId="5" r:id="Re7363a297c3f46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E+00"/>
    <x:numFmt numFmtId="202" formatCode="0.0000"/>
    <x:numFmt numFmtId="203" formatCode="#,##0.0"/>
    <x:numFmt numFmtId="204" formatCode="#,##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Arial"/>
    </x:font>
    <x:font>
      <x:sz val="11"/>
      <x:name val="Arial"/>
    </x:font>
    <x:font>
      <x:b/>
      <x:sz val="11"/>
      <x:name val="Arial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i/>
      <x:sz val="11"/>
      <x:name val="Carlito"/>
    </x:font>
    <x:font>
      <x:i/>
      <x:sz val="1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  <x:fill>
      <x:patternFill patternType="solid">
        <x:fgColor rgb="FFF2F2F2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5" fillId="3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3" fontId="4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29a1be598d43f6" /><Relationship Type="http://schemas.openxmlformats.org/officeDocument/2006/relationships/theme" Target="/xl/theme/theme1.xml" Id="R435017a1d84c4125" /><Relationship Type="http://schemas.openxmlformats.org/officeDocument/2006/relationships/sharedStrings" Target="/xl/sharedStrings.xml" Id="R1716925159c44da2" /><Relationship Type="http://schemas.openxmlformats.org/officeDocument/2006/relationships/worksheet" Target="/xl/worksheets/sheet1.xml" Id="R722d797b6628441c" /><Relationship Type="http://schemas.openxmlformats.org/officeDocument/2006/relationships/worksheet" Target="/xl/worksheets/sheet2.xml" Id="R99a16850e20e450a" /><Relationship Type="http://schemas.openxmlformats.org/officeDocument/2006/relationships/worksheet" Target="/xl/worksheets/sheet3.xml" Id="R1105705f322b4e30" /><Relationship Type="http://schemas.openxmlformats.org/officeDocument/2006/relationships/worksheet" Target="/xl/worksheets/sheet4.xml" Id="R0e6adad88ca04ceb" /><Relationship Type="http://schemas.openxmlformats.org/officeDocument/2006/relationships/worksheet" Target="/xl/worksheets/sheet5.xml" Id="Re7363a297c3f46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</x:cols>
  <x:sheetData>
    <x:row r="1" ht="30" customHeight="1">
      <x:c r="A1" s="14" t="str">
        <x:v>NIAH open-source reproducibility guide</x:v>
      </x:c>
      <x:c r="B1" s="14" t="str">
        <x:v>NIAH open-source reproducibility guide</x:v>
      </x:c>
      <x:c r="C1" s="14" t="str">
        <x:v>NIAH open-source reproducibility guide</x:v>
      </x:c>
      <x:c r="D1" s="14" t="str">
        <x:v>NIAH open-source reproducibility guide</x:v>
      </x:c>
      <x:c r="E1" s="14" t="str">
        <x:v>NIAH open-source reproducibility guide</x:v>
      </x:c>
      <x:c r="F1" s="14" t="str">
        <x:v>NIAH open-source reproducibility guide</x:v>
      </x:c>
      <x:c r="G1" s="14" t="str">
        <x:v>NIAH open-source reproducibility guide</x:v>
      </x:c>
      <x:c r="H1" s="14" t="str">
        <x:v>NIAH open-source reproducibility guide</x:v>
      </x:c>
    </x:row>
    <x:row r="2">
      <x:c r="A2" s="15"/>
      <x:c r="B2" s="15"/>
      <x:c r="C2" s="15"/>
      <x:c r="D2" s="15"/>
      <x:c r="E2" s="15"/>
      <x:c r="F2" s="15"/>
      <x:c r="G2" s="15"/>
      <x:c r="H2" s="15"/>
    </x:row>
    <x:row r="3">
      <x:c r="A3" s="16" t="str">
        <x:v>Release scope</x:v>
      </x:c>
      <x:c r="B3" s="17" t="str">
        <x:v>Complete readable Abaqus-Python source, input models, logs, TXT results, and statistical workbooks</x:v>
      </x:c>
      <x:c r="C3" s="15"/>
      <x:c r="D3" s="15"/>
      <x:c r="E3" s="15"/>
      <x:c r="F3" s="15"/>
      <x:c r="G3" s="15"/>
      <x:c r="H3" s="15"/>
    </x:row>
    <x:row r="4">
      <x:c r="A4" s="16" t="str">
        <x:v>Abaqus version</x:v>
      </x:c>
      <x:c r="B4" s="17" t="str">
        <x:v>2020</x:v>
      </x:c>
      <x:c r="C4" s="15"/>
      <x:c r="D4" s="15"/>
      <x:c r="E4" s="15"/>
      <x:c r="F4" s="15"/>
      <x:c r="G4" s="15"/>
      <x:c r="H4" s="15"/>
    </x:row>
    <x:row r="5">
      <x:c r="A5" s="16" t="str">
        <x:v>Solver CPUs</x:v>
      </x:c>
      <x:c r="B5" s="17" t="n">
        <x:v>8</x:v>
      </x:c>
      <x:c r="C5" s="15"/>
      <x:c r="D5" s="15"/>
      <x:c r="E5" s="15"/>
      <x:c r="F5" s="15"/>
      <x:c r="G5" s="15"/>
      <x:c r="H5" s="15"/>
    </x:row>
    <x:row r="6">
      <x:c r="A6" s="16" t="str">
        <x:v>Recorded runs</x:v>
      </x:c>
      <x:c r="B6" s="17" t="n">
        <x:f>COUNTA('Case Settings'!A5:A40)</x:f>
        <x:v>28</x:v>
      </x:c>
      <x:c r="C6" s="15"/>
      <x:c r="D6" s="15"/>
      <x:c r="E6" s="15"/>
      <x:c r="F6" s="15"/>
      <x:c r="G6" s="15"/>
      <x:c r="H6" s="15"/>
    </x:row>
    <x:row r="7">
      <x:c r="A7" s="16" t="str">
        <x:v>3D runs</x:v>
      </x:c>
      <x:c r="B7" s="17" t="n">
        <x:f>COUNTIF('Case Settings'!C5:C40,"3D")</x:f>
        <x:v>13</x:v>
      </x:c>
      <x:c r="C7" s="15"/>
      <x:c r="D7" s="15"/>
      <x:c r="E7" s="15"/>
      <x:c r="F7" s="15"/>
      <x:c r="G7" s="15"/>
      <x:c r="H7" s="15"/>
    </x:row>
    <x:row r="8">
      <x:c r="A8" s="16" t="str">
        <x:v>Plate runs</x:v>
      </x:c>
      <x:c r="B8" s="17" t="n">
        <x:f>COUNTIF('Case Settings'!C5:C40,"plate")</x:f>
        <x:v>15</x:v>
      </x:c>
      <x:c r="C8" s="15"/>
      <x:c r="D8" s="15"/>
      <x:c r="E8" s="15"/>
      <x:c r="F8" s="15"/>
      <x:c r="G8" s="15"/>
      <x:c r="H8" s="15"/>
    </x:row>
    <x:row r="9">
      <x:c r="A9" s="15"/>
      <x:c r="B9" s="15"/>
      <x:c r="C9" s="15"/>
      <x:c r="D9" s="15"/>
      <x:c r="E9" s="15"/>
      <x:c r="F9" s="15"/>
      <x:c r="G9" s="15"/>
      <x:c r="H9" s="15"/>
    </x:row>
    <x:row r="10">
      <x:c r="A10" s="18" t="str">
        <x:v>Important: Abaqus is proprietary software and is not distributed with this repository. The supplied logs are reference evidence from completed runs; no Abaqus job is required to inspect the source or outputs.</x:v>
      </x:c>
      <x:c r="B10" s="18"/>
      <x:c r="C10" s="18"/>
      <x:c r="D10" s="18"/>
      <x:c r="E10" s="18"/>
      <x:c r="F10" s="18"/>
      <x:c r="G10" s="18"/>
      <x:c r="H10" s="18"/>
    </x:row>
    <x:row r="11">
      <x:c r="A11" s="18"/>
      <x:c r="B11" s="18"/>
      <x:c r="C11" s="18"/>
      <x:c r="D11" s="18"/>
      <x:c r="E11" s="18"/>
      <x:c r="F11" s="18"/>
      <x:c r="G11" s="18"/>
      <x:c r="H11" s="18"/>
    </x:row>
    <x:row r="12">
      <x:c r="A12" s="18"/>
      <x:c r="B12" s="18"/>
      <x:c r="C12" s="18"/>
      <x:c r="D12" s="18"/>
      <x:c r="E12" s="18"/>
      <x:c r="F12" s="18"/>
      <x:c r="G12" s="18"/>
      <x:c r="H12" s="18"/>
    </x:row>
  </x:sheetData>
  <x:mergeCells>
    <x:mergeCell ref="A1:H1"/>
    <x:mergeCell ref="A10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72" hidden="0" customWidth="1"/>
    <x:col min="4" max="4" width="45" hidden="0" customWidth="1"/>
  </x:cols>
  <x:sheetData>
    <x:row r="1" ht="30" customHeight="1">
      <x:c r="A1" s="14" t="str">
        <x:v>Plug-in execution workflow</x:v>
      </x:c>
      <x:c r="B1" s="14" t="str">
        <x:v>Plug-in execution workflow</x:v>
      </x:c>
      <x:c r="C1" s="14" t="str">
        <x:v>Plug-in execution workflow</x:v>
      </x:c>
      <x:c r="D1" s="14" t="str">
        <x:v>Plug-in execution workflow</x:v>
      </x:c>
    </x:row>
    <x:row r="2">
      <x:c r="A2" s="15"/>
      <x:c r="B2" s="15"/>
      <x:c r="C2" s="15"/>
      <x:c r="D2" s="15"/>
    </x:row>
    <x:row r="3">
      <x:c r="A3" s="28" t="str">
        <x:v>Step</x:v>
      </x:c>
      <x:c r="B3" s="28" t="str">
        <x:v>Phase</x:v>
      </x:c>
      <x:c r="C3" s="28" t="str">
        <x:v>Action</x:v>
      </x:c>
      <x:c r="D3" s="28" t="str">
        <x:v>Verification</x:v>
      </x:c>
    </x:row>
    <x:row r="4" ht="42" customHeight="1">
      <x:c r="A4" s="29" t="n">
        <x:v>1</x:v>
      </x:c>
      <x:c r="B4" s="17" t="str">
        <x:v>Install</x:v>
      </x:c>
      <x:c r="C4" s="17" t="str">
        <x:v>Copy the complete 'NIAH Abaqus Plugin' directory into the Abaqus/CAE 2020 plug-ins directory and restart CAE.</x:v>
      </x:c>
      <x:c r="D4" s="17" t="str">
        <x:v>The NIAH menu entry is visible.</x:v>
      </x:c>
    </x:row>
    <x:row r="5" ht="42" customHeight="1">
      <x:c r="A5" s="29" t="n">
        <x:v>2</x:v>
      </x:c>
      <x:c r="B5" s="17" t="str">
        <x:v>Prepare</x:v>
      </x:c>
      <x:c r="C5" s="17" t="str">
        <x:v>Use the supplied INP without renumbering nodes. Opposite periodic boundaries must have one-to-one matching nodes.</x:v>
      </x:c>
      <x:c r="D5" s="17" t="str">
        <x:v>Inspect the mesh and periodic cell axes.</x:v>
      </x:c>
    </x:row>
    <x:row r="6" ht="42" customHeight="1">
      <x:c r="A6" s="29" t="n">
        <x:v>3</x:v>
      </x:c>
      <x:c r="B6" s="17" t="str">
        <x:v>Configure</x:v>
      </x:c>
      <x:c r="C6" s="17" t="str">
        <x:v>Open Plug-ins &gt; NIAH Homogenization and select the INP directory and case name.</x:v>
      </x:c>
      <x:c r="D6" s="17" t="str">
        <x:v>The selected file exists and is readable.</x:v>
      </x:c>
    </x:row>
    <x:row r="7" ht="42" customHeight="1">
      <x:c r="A7" s="29" t="n">
        <x:v>4</x:v>
      </x:c>
      <x:c r="B7" s="17" t="str">
        <x:v>Configure</x:v>
      </x:c>
      <x:c r="C7" s="17" t="str">
        <x:v>Choose 3D or plate homogenization and the primary element type listed in Case Settings.</x:v>
      </x:c>
      <x:c r="D7" s="17" t="str">
        <x:v>The element type matches the INP.</x:v>
      </x:c>
    </x:row>
    <x:row r="8" ht="42" customHeight="1">
      <x:c r="A8" s="29" t="n">
        <x:v>5</x:v>
      </x:c>
      <x:c r="B8" s="17" t="str">
        <x:v>Configure</x:v>
      </x:c>
      <x:c r="C8" s="17" t="str">
        <x:v>Use Part mode for uniform-property meshes; use Model mode when the INP contains mixed elements or multiple section definitions.</x:v>
      </x:c>
      <x:c r="D8" s="17" t="str">
        <x:v>Materials/sections follow the Case Settings strategy.</x:v>
      </x:c>
    </x:row>
    <x:row r="9" ht="42" customHeight="1">
      <x:c r="A9" s="29" t="n">
        <x:v>6</x:v>
      </x:c>
      <x:c r="B9" s="17" t="str">
        <x:v>Configure</x:v>
      </x:c>
      <x:c r="C9" s="17" t="str">
        <x:v>Set CPUs to 8 and mesh tolerance to 1.0E-3 unless deliberately studying another tolerance.</x:v>
      </x:c>
      <x:c r="D9" s="17" t="str">
        <x:v>GUI values match Case Settings.</x:v>
      </x:c>
    </x:row>
    <x:row r="10" ht="42" customHeight="1">
      <x:c r="A10" s="29" t="n">
        <x:v>7</x:v>
      </x:c>
      <x:c r="B10" s="17" t="str">
        <x:v>Anchor</x:v>
      </x:c>
      <x:c r="C10" s="17" t="str">
        <x:v>Select an existing node and enter its exact coordinates as the translational reference anchor.</x:v>
      </x:c>
      <x:c r="D10" s="17" t="str">
        <x:v>Exactly one node lies within the anchor tolerance.</x:v>
      </x:c>
    </x:row>
    <x:row r="11" ht="42" customHeight="1">
      <x:c r="A11" s="29" t="n">
        <x:v>8</x:v>
      </x:c>
      <x:c r="B11" s="17" t="str">
        <x:v>Run</x:v>
      </x:c>
      <x:c r="C11" s="17" t="str">
        <x:v>Enable preprocessing and solver execution. Resume may remain enabled; INP/STA/ODB checkpoints are retained.</x:v>
      </x:c>
      <x:c r="D11" s="17" t="str">
        <x:v>The progress log reports each load case as completed.</x:v>
      </x:c>
    </x:row>
    <x:row r="12" ht="42" customHeight="1">
      <x:c r="A12" s="29" t="n">
        <x:v>9</x:v>
      </x:c>
      <x:c r="B12" s="17" t="str">
        <x:v>Output</x:v>
      </x:c>
      <x:c r="C12" s="17" t="str">
        <x:v>Read the effective matrix from NIAH_CH_txt. Compare against the supplied reference TXT with the same case name.</x:v>
      </x:c>
      <x:c r="D12" s="17" t="str">
        <x:v>Values agree within the study-specific tolerance.</x:v>
      </x:c>
    </x:row>
    <x:row r="13" ht="42" customHeight="1">
      <x:c r="A13" s="29" t="n">
        <x:v>10</x:v>
      </x:c>
      <x:c r="B13" s="17" t="str">
        <x:v>Cleanup</x:v>
      </x:c>
      <x:c r="C13" s="17" t="str">
        <x:v>The plug-in performs recoverable cleanup after a successful run and archives transient job files outside niah_workbench.</x:v>
      </x:c>
      <x:c r="D13" s="17" t="str">
        <x:v>Required checkpoints and result files remain available.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10" hidden="0" customWidth="1"/>
    <x:col min="4" max="4" width="35" hidden="0" customWidth="1"/>
    <x:col min="5" max="5" width="11" hidden="0" customWidth="1"/>
    <x:col min="6" max="6" width="16" hidden="0" customWidth="1"/>
    <x:col min="7" max="7" width="8" hidden="0" customWidth="1"/>
    <x:col min="8" max="8" width="14" hidden="0" customWidth="1"/>
    <x:col min="9" max="9" width="16" hidden="0" customWidth="1"/>
    <x:col min="10" max="10" width="12" hidden="0" customWidth="1"/>
    <x:col min="11" max="11" width="18" hidden="0" customWidth="1"/>
    <x:col min="12" max="12" width="29" hidden="0" customWidth="1"/>
    <x:col min="13" max="13" width="39" hidden="0" customWidth="1"/>
    <x:col min="14" max="14" width="12" hidden="0" customWidth="1"/>
    <x:col min="15" max="15" width="13" hidden="0" customWidth="1"/>
    <x:col min="16" max="16" width="13" hidden="0" customWidth="1"/>
    <x:col min="17" max="17" width="15" hidden="0" customWidth="1"/>
    <x:col min="18" max="18" width="40" hidden="0" customWidth="1"/>
    <x:col min="19" max="19" width="53" hidden="0" customWidth="1"/>
  </x:cols>
  <x:sheetData>
    <x:row r="1" ht="30" customHeight="1">
      <x:c r="A1" s="14" t="str">
        <x:v>Case-specific plug-in settings and reference run metadata</x:v>
      </x:c>
      <x:c r="B1" s="14" t="str">
        <x:v>Case-specific plug-in settings and reference run metadata</x:v>
      </x:c>
      <x:c r="C1" s="14" t="str">
        <x:v>Case-specific plug-in settings and reference run metadata</x:v>
      </x:c>
      <x:c r="D1" s="14" t="str">
        <x:v>Case-specific plug-in settings and reference run metadata</x:v>
      </x:c>
      <x:c r="E1" s="14" t="str">
        <x:v>Case-specific plug-in settings and reference run metadata</x:v>
      </x:c>
      <x:c r="F1" s="14" t="str">
        <x:v>Case-specific plug-in settings and reference run metadata</x:v>
      </x:c>
      <x:c r="G1" s="14" t="str">
        <x:v>Case-specific plug-in settings and reference run metadata</x:v>
      </x:c>
      <x:c r="H1" s="14" t="str">
        <x:v>Case-specific plug-in settings and reference run metadata</x:v>
      </x:c>
      <x:c r="I1" s="14" t="str">
        <x:v>Case-specific plug-in settings and reference run metadata</x:v>
      </x:c>
      <x:c r="J1" s="14" t="str">
        <x:v>Case-specific plug-in settings and reference run metadata</x:v>
      </x:c>
      <x:c r="K1" s="14" t="str">
        <x:v>Case-specific plug-in settings and reference run metadata</x:v>
      </x:c>
      <x:c r="L1" s="14" t="str">
        <x:v>Case-specific plug-in settings and reference run metadata</x:v>
      </x:c>
      <x:c r="M1" s="14" t="str">
        <x:v>Case-specific plug-in settings and reference run metadata</x:v>
      </x:c>
      <x:c r="N1" s="14" t="str">
        <x:v>Case-specific plug-in settings and reference run metadata</x:v>
      </x:c>
      <x:c r="O1" s="14" t="str">
        <x:v>Case-specific plug-in settings and reference run metadata</x:v>
      </x:c>
      <x:c r="P1" s="14" t="str">
        <x:v>Case-specific plug-in settings and reference run metadata</x:v>
      </x:c>
      <x:c r="Q1" s="14" t="str">
        <x:v>Case-specific plug-in settings and reference run metadata</x:v>
      </x:c>
      <x:c r="R1" s="14" t="str">
        <x:v>Case-specific plug-in settings and reference run metadata</x:v>
      </x:c>
      <x:c r="S1" s="14" t="str">
        <x:v>Case-specific plug-in settings and reference run metadata</x:v>
      </x:c>
    </x:row>
    <x:row r="2" ht="28" customHeight="1">
      <x:c r="A2" s="37" t="str">
        <x:v>Counts are parsed directly from the supplied INP files; elapsed times and loaded-node counts are parsed from the supplied progress logs.</x:v>
      </x:c>
      <x:c r="B2" s="37"/>
      <x:c r="C2" s="37"/>
      <x:c r="D2" s="37"/>
      <x:c r="E2" s="37"/>
      <x:c r="F2" s="37"/>
      <x:c r="G2" s="37"/>
      <x:c r="H2" s="37"/>
      <x:c r="I2" s="37"/>
      <x:c r="J2" s="37"/>
      <x:c r="K2" s="37"/>
      <x:c r="L2" s="37"/>
      <x:c r="M2" s="37"/>
      <x:c r="N2" s="37"/>
      <x:c r="O2" s="37"/>
      <x:c r="P2" s="37"/>
      <x:c r="Q2" s="37"/>
      <x:c r="R2" s="37"/>
      <x:c r="S2" s="3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</x:row>
    <x:row r="4" ht="36" customHeight="1">
      <x:c r="A4" s="28" t="str">
        <x:v>Case</x:v>
      </x:c>
      <x:c r="B4" s="28" t="str">
        <x:v>Purpose</x:v>
      </x:c>
      <x:c r="C4" s="28" t="str">
        <x:v>Analysis</x:v>
      </x:c>
      <x:c r="D4" s="28" t="str">
        <x:v>Input INP</x:v>
      </x:c>
      <x:c r="E4" s="28" t="str">
        <x:v>Pre-mode</x:v>
      </x:c>
      <x:c r="F4" s="28" t="str">
        <x:v>Element type</x:v>
      </x:c>
      <x:c r="G4" s="28" t="str">
        <x:v>CPUs</x:v>
      </x:c>
      <x:c r="H4" s="28" t="str">
        <x:v>Mesh tolerance</x:v>
      </x:c>
      <x:c r="I4" s="28" t="str">
        <x:v>Young's modulus</x:v>
      </x:c>
      <x:c r="J4" s="28" t="str">
        <x:v>Poisson ratio</x:v>
      </x:c>
      <x:c r="K4" s="28" t="str">
        <x:v>Non-periodic direction</x:v>
      </x:c>
      <x:c r="L4" s="28" t="str">
        <x:v>Property strategy</x:v>
      </x:c>
      <x:c r="M4" s="28" t="str">
        <x:v>Reference-node rule</x:v>
      </x:c>
      <x:c r="N4" s="28" t="str">
        <x:v>INP nodes</x:v>
      </x:c>
      <x:c r="O4" s="28" t="str">
        <x:v>INP elements</x:v>
      </x:c>
      <x:c r="P4" s="28" t="str">
        <x:v>Logged nodes</x:v>
      </x:c>
      <x:c r="Q4" s="28" t="str">
        <x:v>Elapsed time (s)</x:v>
      </x:c>
      <x:c r="R4" s="28" t="str">
        <x:v>Reference TXT</x:v>
      </x:c>
      <x:c r="S4" s="28" t="str">
        <x:v>Progress log</x:v>
      </x:c>
    </x:row>
    <x:row r="5" ht="30" customHeight="1">
      <x:c r="A5" s="17" t="str">
        <x:v>Cube_E1000</x:v>
      </x:c>
      <x:c r="B5" s="17" t="str">
        <x:v>3D mesh-convergence study</x:v>
      </x:c>
      <x:c r="C5" s="17" t="str">
        <x:v>3D</x:v>
      </x:c>
      <x:c r="D5" s="17" t="str">
        <x:v>Cube_E1000.inp</x:v>
      </x:c>
      <x:c r="E5" s="17" t="str">
        <x:v>Part</x:v>
      </x:c>
      <x:c r="F5" s="17" t="str">
        <x:v>C3D8R</x:v>
      </x:c>
      <x:c r="G5" s="29" t="n">
        <x:v>8</x:v>
      </x:c>
      <x:c r="H5" s="38" t="n">
        <x:v>0.001</x:v>
      </x:c>
      <x:c r="I5" s="39" t="n">
        <x:v>1</x:v>
      </x:c>
      <x:c r="J5" s="39" t="n">
        <x:v>0.3</x:v>
      </x:c>
      <x:c r="K5" s="17" t="str">
        <x:v>N/A</x:v>
      </x:c>
      <x:c r="L5" s="17" t="str">
        <x:v>Assign uniform GUI material</x:v>
      </x:c>
      <x:c r="M5" s="17" t="str">
        <x:v>Select one existing node; enter exact coordinates</x:v>
      </x:c>
      <x:c r="N5" s="40" t="n">
        <x:v>1331</x:v>
      </x:c>
      <x:c r="O5" s="40" t="n">
        <x:v>1000</x:v>
      </x:c>
      <x:c r="P5" s="40" t="n">
        <x:v>1331</x:v>
      </x:c>
      <x:c r="Q5" s="41" t="n">
        <x:v>339.4</x:v>
      </x:c>
      <x:c r="R5" s="17" t="str">
        <x:v>CH-Cube_E1000-3D.txt</x:v>
      </x:c>
      <x:c r="S5" s="17" t="str">
        <x:v>NIAH_ABAQUS_Progress_Cube_E1000_20260727.txt</x:v>
      </x:c>
    </x:row>
    <x:row r="6" ht="30" customHeight="1">
      <x:c r="A6" s="17" t="str">
        <x:v>Cube_E125</x:v>
      </x:c>
      <x:c r="B6" s="17" t="str">
        <x:v>3D mesh-convergence study</x:v>
      </x:c>
      <x:c r="C6" s="17" t="str">
        <x:v>3D</x:v>
      </x:c>
      <x:c r="D6" s="17" t="str">
        <x:v>Cube_E125.inp</x:v>
      </x:c>
      <x:c r="E6" s="17" t="str">
        <x:v>Part</x:v>
      </x:c>
      <x:c r="F6" s="17" t="str">
        <x:v>C3D8R</x:v>
      </x:c>
      <x:c r="G6" s="29" t="n">
        <x:v>8</x:v>
      </x:c>
      <x:c r="H6" s="38" t="n">
        <x:v>0.001</x:v>
      </x:c>
      <x:c r="I6" s="39" t="n">
        <x:v>1</x:v>
      </x:c>
      <x:c r="J6" s="39" t="n">
        <x:v>0.3</x:v>
      </x:c>
      <x:c r="K6" s="17" t="str">
        <x:v>N/A</x:v>
      </x:c>
      <x:c r="L6" s="17" t="str">
        <x:v>Assign uniform GUI material</x:v>
      </x:c>
      <x:c r="M6" s="17" t="str">
        <x:v>Select one existing node; enter exact coordinates</x:v>
      </x:c>
      <x:c r="N6" s="40" t="n">
        <x:v>216</x:v>
      </x:c>
      <x:c r="O6" s="40" t="n">
        <x:v>125</x:v>
      </x:c>
      <x:c r="P6" s="40" t="n">
        <x:v>216</x:v>
      </x:c>
      <x:c r="Q6" s="41" t="n">
        <x:v>337.4</x:v>
      </x:c>
      <x:c r="R6" s="17" t="str">
        <x:v>CH-Cube_E125-3D.txt</x:v>
      </x:c>
      <x:c r="S6" s="17" t="str">
        <x:v>NIAH_ABAQUS_Progress_Cube_E125_20260802.txt</x:v>
      </x:c>
    </x:row>
    <x:row r="7" ht="30" customHeight="1">
      <x:c r="A7" s="17" t="str">
        <x:v>Cube_E216</x:v>
      </x:c>
      <x:c r="B7" s="17" t="str">
        <x:v>3D mesh-convergence study</x:v>
      </x:c>
      <x:c r="C7" s="17" t="str">
        <x:v>3D</x:v>
      </x:c>
      <x:c r="D7" s="17" t="str">
        <x:v>Cube_E216.inp</x:v>
      </x:c>
      <x:c r="E7" s="17" t="str">
        <x:v>Part</x:v>
      </x:c>
      <x:c r="F7" s="17" t="str">
        <x:v>C3D8R</x:v>
      </x:c>
      <x:c r="G7" s="29" t="n">
        <x:v>8</x:v>
      </x:c>
      <x:c r="H7" s="38" t="n">
        <x:v>0.001</x:v>
      </x:c>
      <x:c r="I7" s="39" t="n">
        <x:v>1</x:v>
      </x:c>
      <x:c r="J7" s="39" t="n">
        <x:v>0.3</x:v>
      </x:c>
      <x:c r="K7" s="17" t="str">
        <x:v>N/A</x:v>
      </x:c>
      <x:c r="L7" s="17" t="str">
        <x:v>Assign uniform GUI material</x:v>
      </x:c>
      <x:c r="M7" s="17" t="str">
        <x:v>Select one existing node; enter exact coordinates</x:v>
      </x:c>
      <x:c r="N7" s="40" t="n">
        <x:v>343</x:v>
      </x:c>
      <x:c r="O7" s="40" t="n">
        <x:v>216</x:v>
      </x:c>
      <x:c r="P7" s="40" t="n">
        <x:v>343</x:v>
      </x:c>
      <x:c r="Q7" s="41" t="n">
        <x:v>338.3</x:v>
      </x:c>
      <x:c r="R7" s="17" t="str">
        <x:v>CH-Cube_E216-3D.txt</x:v>
      </x:c>
      <x:c r="S7" s="17" t="str">
        <x:v>NIAH_ABAQUS_Progress_Cube_E216_20260802.txt</x:v>
      </x:c>
    </x:row>
    <x:row r="8" ht="30" customHeight="1">
      <x:c r="A8" s="17" t="str">
        <x:v>Cube_E27</x:v>
      </x:c>
      <x:c r="B8" s="17" t="str">
        <x:v>3D mesh-convergence study</x:v>
      </x:c>
      <x:c r="C8" s="17" t="str">
        <x:v>3D</x:v>
      </x:c>
      <x:c r="D8" s="17" t="str">
        <x:v>Cube_E27.inp</x:v>
      </x:c>
      <x:c r="E8" s="17" t="str">
        <x:v>Part</x:v>
      </x:c>
      <x:c r="F8" s="17" t="str">
        <x:v>C3D8R</x:v>
      </x:c>
      <x:c r="G8" s="29" t="n">
        <x:v>8</x:v>
      </x:c>
      <x:c r="H8" s="38" t="n">
        <x:v>0.001</x:v>
      </x:c>
      <x:c r="I8" s="39" t="n">
        <x:v>1</x:v>
      </x:c>
      <x:c r="J8" s="39" t="n">
        <x:v>0.3</x:v>
      </x:c>
      <x:c r="K8" s="17" t="str">
        <x:v>N/A</x:v>
      </x:c>
      <x:c r="L8" s="17" t="str">
        <x:v>Assign uniform GUI material</x:v>
      </x:c>
      <x:c r="M8" s="17" t="str">
        <x:v>Select one existing node; enter exact coordinates</x:v>
      </x:c>
      <x:c r="N8" s="40" t="n">
        <x:v>64</x:v>
      </x:c>
      <x:c r="O8" s="40" t="n">
        <x:v>27</x:v>
      </x:c>
      <x:c r="P8" s="40" t="n">
        <x:v>64</x:v>
      </x:c>
      <x:c r="Q8" s="41" t="n">
        <x:v>338.6</x:v>
      </x:c>
      <x:c r="R8" s="17" t="str">
        <x:v>CH-Cube_E27-3D.txt</x:v>
      </x:c>
      <x:c r="S8" s="17" t="str">
        <x:v>NIAH_ABAQUS_Progress_Cube_E27_20260802.txt</x:v>
      </x:c>
    </x:row>
    <x:row r="9" ht="30" customHeight="1">
      <x:c r="A9" s="17" t="str">
        <x:v>Cube_E343</x:v>
      </x:c>
      <x:c r="B9" s="17" t="str">
        <x:v>3D mesh-convergence study</x:v>
      </x:c>
      <x:c r="C9" s="17" t="str">
        <x:v>3D</x:v>
      </x:c>
      <x:c r="D9" s="17" t="str">
        <x:v>Cube_E343.inp</x:v>
      </x:c>
      <x:c r="E9" s="17" t="str">
        <x:v>Part</x:v>
      </x:c>
      <x:c r="F9" s="17" t="str">
        <x:v>C3D8R</x:v>
      </x:c>
      <x:c r="G9" s="29" t="n">
        <x:v>8</x:v>
      </x:c>
      <x:c r="H9" s="38" t="n">
        <x:v>0.001</x:v>
      </x:c>
      <x:c r="I9" s="39" t="n">
        <x:v>1</x:v>
      </x:c>
      <x:c r="J9" s="39" t="n">
        <x:v>0.3</x:v>
      </x:c>
      <x:c r="K9" s="17" t="str">
        <x:v>N/A</x:v>
      </x:c>
      <x:c r="L9" s="17" t="str">
        <x:v>Assign uniform GUI material</x:v>
      </x:c>
      <x:c r="M9" s="17" t="str">
        <x:v>Select one existing node; enter exact coordinates</x:v>
      </x:c>
      <x:c r="N9" s="40" t="n">
        <x:v>512</x:v>
      </x:c>
      <x:c r="O9" s="40" t="n">
        <x:v>343</x:v>
      </x:c>
      <x:c r="P9" s="40" t="n">
        <x:v>512</x:v>
      </x:c>
      <x:c r="Q9" s="41" t="n">
        <x:v>338.7</x:v>
      </x:c>
      <x:c r="R9" s="17" t="str">
        <x:v>CH-Cube_E343-3D.txt</x:v>
      </x:c>
      <x:c r="S9" s="17" t="str">
        <x:v>NIAH_ABAQUS_Progress_Cube_E343_20260802.txt</x:v>
      </x:c>
    </x:row>
    <x:row r="10" ht="30" customHeight="1">
      <x:c r="A10" s="17" t="str">
        <x:v>Cube_E512</x:v>
      </x:c>
      <x:c r="B10" s="17" t="str">
        <x:v>3D mesh-convergence study</x:v>
      </x:c>
      <x:c r="C10" s="17" t="str">
        <x:v>3D</x:v>
      </x:c>
      <x:c r="D10" s="17" t="str">
        <x:v>Cube_E512.inp</x:v>
      </x:c>
      <x:c r="E10" s="17" t="str">
        <x:v>Part</x:v>
      </x:c>
      <x:c r="F10" s="17" t="str">
        <x:v>C3D8R</x:v>
      </x:c>
      <x:c r="G10" s="29" t="n">
        <x:v>8</x:v>
      </x:c>
      <x:c r="H10" s="38" t="n">
        <x:v>0.001</x:v>
      </x:c>
      <x:c r="I10" s="39" t="n">
        <x:v>1</x:v>
      </x:c>
      <x:c r="J10" s="39" t="n">
        <x:v>0.3</x:v>
      </x:c>
      <x:c r="K10" s="17" t="str">
        <x:v>N/A</x:v>
      </x:c>
      <x:c r="L10" s="17" t="str">
        <x:v>Assign uniform GUI material</x:v>
      </x:c>
      <x:c r="M10" s="17" t="str">
        <x:v>Select one existing node; enter exact coordinates</x:v>
      </x:c>
      <x:c r="N10" s="40" t="n">
        <x:v>729</x:v>
      </x:c>
      <x:c r="O10" s="40" t="n">
        <x:v>512</x:v>
      </x:c>
      <x:c r="P10" s="40" t="n">
        <x:v>729</x:v>
      </x:c>
      <x:c r="Q10" s="41" t="n">
        <x:v>337.9</x:v>
      </x:c>
      <x:c r="R10" s="17" t="str">
        <x:v>CH-Cube_E512-3D.txt</x:v>
      </x:c>
      <x:c r="S10" s="17" t="str">
        <x:v>NIAH_ABAQUS_Progress_Cube_E512_20260802.txt</x:v>
      </x:c>
    </x:row>
    <x:row r="11" ht="30" customHeight="1">
      <x:c r="A11" s="17" t="str">
        <x:v>Cube_E64</x:v>
      </x:c>
      <x:c r="B11" s="17" t="str">
        <x:v>3D mesh-convergence study</x:v>
      </x:c>
      <x:c r="C11" s="17" t="str">
        <x:v>3D</x:v>
      </x:c>
      <x:c r="D11" s="17" t="str">
        <x:v>Cube_E64.inp</x:v>
      </x:c>
      <x:c r="E11" s="17" t="str">
        <x:v>Part</x:v>
      </x:c>
      <x:c r="F11" s="17" t="str">
        <x:v>C3D8R</x:v>
      </x:c>
      <x:c r="G11" s="29" t="n">
        <x:v>8</x:v>
      </x:c>
      <x:c r="H11" s="38" t="n">
        <x:v>0.001</x:v>
      </x:c>
      <x:c r="I11" s="39" t="n">
        <x:v>1</x:v>
      </x:c>
      <x:c r="J11" s="39" t="n">
        <x:v>0.3</x:v>
      </x:c>
      <x:c r="K11" s="17" t="str">
        <x:v>N/A</x:v>
      </x:c>
      <x:c r="L11" s="17" t="str">
        <x:v>Assign uniform GUI material</x:v>
      </x:c>
      <x:c r="M11" s="17" t="str">
        <x:v>Select one existing node; enter exact coordinates</x:v>
      </x:c>
      <x:c r="N11" s="40" t="n">
        <x:v>125</x:v>
      </x:c>
      <x:c r="O11" s="40" t="n">
        <x:v>64</x:v>
      </x:c>
      <x:c r="P11" s="40" t="n">
        <x:v>125</x:v>
      </x:c>
      <x:c r="Q11" s="41" t="n">
        <x:v>341.6</x:v>
      </x:c>
      <x:c r="R11" s="17" t="str">
        <x:v>CH-Cube_E64-3D.txt</x:v>
      </x:c>
      <x:c r="S11" s="17" t="str">
        <x:v>NIAH_ABAQUS_Progress_Cube_E64_20260802.txt</x:v>
      </x:c>
    </x:row>
    <x:row r="12" ht="30" customHeight="1">
      <x:c r="A12" s="17" t="str">
        <x:v>Cube_E729</x:v>
      </x:c>
      <x:c r="B12" s="17" t="str">
        <x:v>3D mesh-convergence study</x:v>
      </x:c>
      <x:c r="C12" s="17" t="str">
        <x:v>3D</x:v>
      </x:c>
      <x:c r="D12" s="17" t="str">
        <x:v>Cube_E729.inp</x:v>
      </x:c>
      <x:c r="E12" s="17" t="str">
        <x:v>Part</x:v>
      </x:c>
      <x:c r="F12" s="17" t="str">
        <x:v>C3D8R</x:v>
      </x:c>
      <x:c r="G12" s="29" t="n">
        <x:v>8</x:v>
      </x:c>
      <x:c r="H12" s="38" t="n">
        <x:v>0.001</x:v>
      </x:c>
      <x:c r="I12" s="39" t="n">
        <x:v>1</x:v>
      </x:c>
      <x:c r="J12" s="39" t="n">
        <x:v>0.3</x:v>
      </x:c>
      <x:c r="K12" s="17" t="str">
        <x:v>N/A</x:v>
      </x:c>
      <x:c r="L12" s="17" t="str">
        <x:v>Assign uniform GUI material</x:v>
      </x:c>
      <x:c r="M12" s="17" t="str">
        <x:v>Select one existing node; enter exact coordinates</x:v>
      </x:c>
      <x:c r="N12" s="40" t="n">
        <x:v>1000</x:v>
      </x:c>
      <x:c r="O12" s="40" t="n">
        <x:v>729</x:v>
      </x:c>
      <x:c r="P12" s="40" t="n">
        <x:v>1000</x:v>
      </x:c>
      <x:c r="Q12" s="41" t="n">
        <x:v>339.7</x:v>
      </x:c>
      <x:c r="R12" s="17" t="str">
        <x:v>CH-Cube_E729-3D.txt</x:v>
      </x:c>
      <x:c r="S12" s="17" t="str">
        <x:v>NIAH_ABAQUS_Progress_Cube_E729_20260802.txt</x:v>
      </x:c>
    </x:row>
    <x:row r="13" ht="30" customHeight="1">
      <x:c r="A13" s="17" t="str">
        <x:v>Cube_E8</x:v>
      </x:c>
      <x:c r="B13" s="17" t="str">
        <x:v>3D mesh-convergence study</x:v>
      </x:c>
      <x:c r="C13" s="17" t="str">
        <x:v>3D</x:v>
      </x:c>
      <x:c r="D13" s="17" t="str">
        <x:v>Cube_E8.inp</x:v>
      </x:c>
      <x:c r="E13" s="17" t="str">
        <x:v>Part</x:v>
      </x:c>
      <x:c r="F13" s="17" t="str">
        <x:v>C3D8R</x:v>
      </x:c>
      <x:c r="G13" s="29" t="n">
        <x:v>8</x:v>
      </x:c>
      <x:c r="H13" s="38" t="n">
        <x:v>0.001</x:v>
      </x:c>
      <x:c r="I13" s="39" t="n">
        <x:v>1</x:v>
      </x:c>
      <x:c r="J13" s="39" t="n">
        <x:v>0.3</x:v>
      </x:c>
      <x:c r="K13" s="17" t="str">
        <x:v>N/A</x:v>
      </x:c>
      <x:c r="L13" s="17" t="str">
        <x:v>Assign uniform GUI material</x:v>
      </x:c>
      <x:c r="M13" s="17" t="str">
        <x:v>Select one existing node; enter exact coordinates</x:v>
      </x:c>
      <x:c r="N13" s="40" t="n">
        <x:v>27</x:v>
      </x:c>
      <x:c r="O13" s="40" t="n">
        <x:v>8</x:v>
      </x:c>
      <x:c r="P13" s="40" t="n">
        <x:v>27</x:v>
      </x:c>
      <x:c r="Q13" s="41" t="n">
        <x:v>345.9</x:v>
      </x:c>
      <x:c r="R13" s="17" t="str">
        <x:v>CH-Cube_E8-3D.txt</x:v>
      </x:c>
      <x:c r="S13" s="17" t="str">
        <x:v>NIAH_ABAQUS_Progress_Cube_E8_20260802.txt</x:v>
      </x:c>
    </x:row>
    <x:row r="14" ht="30" customHeight="1">
      <x:c r="A14" s="17" t="str">
        <x:v>Cubic_center_beam</x:v>
      </x:c>
      <x:c r="B14" s="17" t="str">
        <x:v>3D benchmark</x:v>
      </x:c>
      <x:c r="C14" s="17" t="str">
        <x:v>3D</x:v>
      </x:c>
      <x:c r="D14" s="17" t="str">
        <x:v>Cubic_center_beam.inp</x:v>
      </x:c>
      <x:c r="E14" s="17" t="str">
        <x:v>Model</x:v>
      </x:c>
      <x:c r="F14" s="17" t="str">
        <x:v>B31</x:v>
      </x:c>
      <x:c r="G14" s="29" t="n">
        <x:v>8</x:v>
      </x:c>
      <x:c r="H14" s="38" t="n">
        <x:v>0.001</x:v>
      </x:c>
      <x:c r="I14" s="39" t="n">
        <x:v>1</x:v>
      </x:c>
      <x:c r="J14" s="39" t="n">
        <x:v>0.3</x:v>
      </x:c>
      <x:c r="K14" s="17" t="str">
        <x:v>N/A</x:v>
      </x:c>
      <x:c r="L14" s="17" t="str">
        <x:v>Use materials and sections from INP</x:v>
      </x:c>
      <x:c r="M14" s="17" t="str">
        <x:v>Select one existing node; enter exact coordinates</x:v>
      </x:c>
      <x:c r="N14" s="40" t="n">
        <x:v>181</x:v>
      </x:c>
      <x:c r="O14" s="40" t="n">
        <x:v>192</x:v>
      </x:c>
      <x:c r="P14" s="40" t="n">
        <x:v>181</x:v>
      </x:c>
      <x:c r="Q14" s="41" t="n">
        <x:v>334.4</x:v>
      </x:c>
      <x:c r="R14" s="17" t="str">
        <x:v>CH-Cubic_center_beam-3D.txt</x:v>
      </x:c>
      <x:c r="S14" s="17" t="str">
        <x:v>NIAH_ABAQUS_Progress_Cubic_center_beam_20260802.txt</x:v>
      </x:c>
    </x:row>
    <x:row r="15" ht="30" customHeight="1">
      <x:c r="A15" s="17" t="str">
        <x:v>Cubic_center_solid</x:v>
      </x:c>
      <x:c r="B15" s="17" t="str">
        <x:v>3D benchmark</x:v>
      </x:c>
      <x:c r="C15" s="17" t="str">
        <x:v>3D</x:v>
      </x:c>
      <x:c r="D15" s="17" t="str">
        <x:v>Cubic_center_solid.inp</x:v>
      </x:c>
      <x:c r="E15" s="17" t="str">
        <x:v>Part</x:v>
      </x:c>
      <x:c r="F15" s="17" t="str">
        <x:v>C3D4</x:v>
      </x:c>
      <x:c r="G15" s="29" t="n">
        <x:v>8</x:v>
      </x:c>
      <x:c r="H15" s="38" t="n">
        <x:v>0.001</x:v>
      </x:c>
      <x:c r="I15" s="39" t="n">
        <x:v>1</x:v>
      </x:c>
      <x:c r="J15" s="39" t="n">
        <x:v>0.3</x:v>
      </x:c>
      <x:c r="K15" s="17" t="str">
        <x:v>N/A</x:v>
      </x:c>
      <x:c r="L15" s="17" t="str">
        <x:v>Assign uniform GUI material</x:v>
      </x:c>
      <x:c r="M15" s="17" t="str">
        <x:v>Select one existing node; enter exact coordinates</x:v>
      </x:c>
      <x:c r="N15" s="40" t="n">
        <x:v>22971</x:v>
      </x:c>
      <x:c r="O15" s="40" t="n">
        <x:v>104112</x:v>
      </x:c>
      <x:c r="P15" s="40" t="n">
        <x:v>22971</x:v>
      </x:c>
      <x:c r="Q15" s="41" t="n">
        <x:v>571</x:v>
      </x:c>
      <x:c r="R15" s="17" t="str">
        <x:v>CH-Cubic_center_solid-3D.txt</x:v>
      </x:c>
      <x:c r="S15" s="17" t="str">
        <x:v>NIAH_ABAQUS_Progress_Cubic_center_solid_20260727.txt</x:v>
      </x:c>
    </x:row>
    <x:row r="16" ht="30" customHeight="1">
      <x:c r="A16" s="17" t="str">
        <x:v>Hexagonal_honeycomb_shell</x:v>
      </x:c>
      <x:c r="B16" s="17" t="str">
        <x:v>Plate element-formulation study</x:v>
      </x:c>
      <x:c r="C16" s="17" t="str">
        <x:v>plate</x:v>
      </x:c>
      <x:c r="D16" s="17" t="str">
        <x:v>Hexagonal_honeycomb_shell.inp</x:v>
      </x:c>
      <x:c r="E16" s="17" t="str">
        <x:v>Model</x:v>
      </x:c>
      <x:c r="F16" s="17" t="str">
        <x:v>S4R</x:v>
      </x:c>
      <x:c r="G16" s="29" t="n">
        <x:v>8</x:v>
      </x:c>
      <x:c r="H16" s="38" t="n">
        <x:v>0.001</x:v>
      </x:c>
      <x:c r="I16" s="39" t="n">
        <x:v>1</x:v>
      </x:c>
      <x:c r="J16" s="39" t="n">
        <x:v>0.3</x:v>
      </x:c>
      <x:c r="K16" s="17" t="n">
        <x:v>3</x:v>
      </x:c>
      <x:c r="L16" s="17" t="str">
        <x:v>Use materials and sections from INP</x:v>
      </x:c>
      <x:c r="M16" s="17" t="str">
        <x:v>Select one existing node; enter exact coordinates</x:v>
      </x:c>
      <x:c r="N16" s="40" t="n">
        <x:v>1540</x:v>
      </x:c>
      <x:c r="O16" s="40" t="n">
        <x:v>1400</x:v>
      </x:c>
      <x:c r="P16" s="40" t="n">
        <x:v>1540</x:v>
      </x:c>
      <x:c r="Q16" s="41" t="n">
        <x:v>665.1</x:v>
      </x:c>
      <x:c r="R16" s="17" t="str">
        <x:v>CH-Hexagonal_honeycomb_shell-shell-nz.txt</x:v>
      </x:c>
      <x:c r="S16" s="17" t="str">
        <x:v>NIAH_ABAQUS_Progress_Hexagonal_honeycomb_shell_20260805.txt</x:v>
      </x:c>
    </x:row>
    <x:row r="17" ht="30" customHeight="1">
      <x:c r="A17" s="17" t="str">
        <x:v>Hexagonal_honeycomb_shell_S4</x:v>
      </x:c>
      <x:c r="B17" s="17" t="str">
        <x:v>Plate element-formulation study</x:v>
      </x:c>
      <x:c r="C17" s="17" t="str">
        <x:v>plate</x:v>
      </x:c>
      <x:c r="D17" s="17" t="str">
        <x:v>Hexagonal_honeycomb_shel_S4.inp</x:v>
      </x:c>
      <x:c r="E17" s="17" t="str">
        <x:v>Model</x:v>
      </x:c>
      <x:c r="F17" s="17" t="str">
        <x:v>S4</x:v>
      </x:c>
      <x:c r="G17" s="29" t="n">
        <x:v>8</x:v>
      </x:c>
      <x:c r="H17" s="38" t="n">
        <x:v>0.001</x:v>
      </x:c>
      <x:c r="I17" s="39" t="n">
        <x:v>1</x:v>
      </x:c>
      <x:c r="J17" s="39" t="n">
        <x:v>0.3</x:v>
      </x:c>
      <x:c r="K17" s="17" t="n">
        <x:v>3</x:v>
      </x:c>
      <x:c r="L17" s="17" t="str">
        <x:v>Use materials and sections from INP</x:v>
      </x:c>
      <x:c r="M17" s="17" t="str">
        <x:v>Select one existing node; enter exact coordinates</x:v>
      </x:c>
      <x:c r="N17" s="40" t="n">
        <x:v>1540</x:v>
      </x:c>
      <x:c r="O17" s="40" t="n">
        <x:v>1400</x:v>
      </x:c>
      <x:c r="P17" s="40" t="n">
        <x:v>1540</x:v>
      </x:c>
      <x:c r="Q17" s="41" t="n">
        <x:v>559.3</x:v>
      </x:c>
      <x:c r="R17" s="17" t="str">
        <x:v>CH-Hexagonal_honeycomb_shell_S4-shell-nz.txt</x:v>
      </x:c>
      <x:c r="S17" s="17" t="str">
        <x:v>NIAH_ABAQUS_Progress_Hexagonal_honeycomb_shell_S4_20260731.txt</x:v>
      </x:c>
    </x:row>
    <x:row r="18" ht="30" customHeight="1">
      <x:c r="A18" s="17" t="str">
        <x:v>Hexagonal_honeycomb_solid</x:v>
      </x:c>
      <x:c r="B18" s="17" t="str">
        <x:v>Plate element-formulation study</x:v>
      </x:c>
      <x:c r="C18" s="17" t="str">
        <x:v>plate</x:v>
      </x:c>
      <x:c r="D18" s="17" t="str">
        <x:v>Hexagonal_honeycomb_C3D8R.inp</x:v>
      </x:c>
      <x:c r="E18" s="17" t="str">
        <x:v>Part</x:v>
      </x:c>
      <x:c r="F18" s="17" t="str">
        <x:v>C3D8R</x:v>
      </x:c>
      <x:c r="G18" s="29" t="n">
        <x:v>8</x:v>
      </x:c>
      <x:c r="H18" s="38" t="n">
        <x:v>0.001</x:v>
      </x:c>
      <x:c r="I18" s="39" t="n">
        <x:v>1</x:v>
      </x:c>
      <x:c r="J18" s="39" t="n">
        <x:v>0.3</x:v>
      </x:c>
      <x:c r="K18" s="17" t="n">
        <x:v>3</x:v>
      </x:c>
      <x:c r="L18" s="17" t="str">
        <x:v>Assign uniform GUI material</x:v>
      </x:c>
      <x:c r="M18" s="17" t="str">
        <x:v>Select one existing node; enter exact coordinates</x:v>
      </x:c>
      <x:c r="N18" s="40" t="n">
        <x:v>375093</x:v>
      </x:c>
      <x:c r="O18" s="40" t="n">
        <x:v>301560</x:v>
      </x:c>
      <x:c r="P18" s="40" t="n">
        <x:v>375093</x:v>
      </x:c>
      <x:c r="Q18" s="41" t="n">
        <x:v>4096.9</x:v>
      </x:c>
      <x:c r="R18" s="17" t="str">
        <x:v>CH-Hexagonal_honeycomb_solid-shell-nz.txt</x:v>
      </x:c>
      <x:c r="S18" s="17" t="str">
        <x:v>NIAH_ABAQUS_Progress_Hexagonal_honeycomb_C3D8R_20260731.txt</x:v>
      </x:c>
    </x:row>
    <x:row r="19" ht="30" customHeight="1">
      <x:c r="A19" s="17" t="str">
        <x:v>Lattice_Hybrid_model</x:v>
      </x:c>
      <x:c r="B19" s="17" t="str">
        <x:v>Mixed beam/shell demonstration</x:v>
      </x:c>
      <x:c r="C19" s="17" t="str">
        <x:v>3D</x:v>
      </x:c>
      <x:c r="D19" s="17" t="str">
        <x:v>Lattice_Hybrid_model.inp</x:v>
      </x:c>
      <x:c r="E19" s="17" t="str">
        <x:v>Model</x:v>
      </x:c>
      <x:c r="F19" s="17" t="str">
        <x:v>B31/S3</x:v>
      </x:c>
      <x:c r="G19" s="29" t="n">
        <x:v>8</x:v>
      </x:c>
      <x:c r="H19" s="38" t="n">
        <x:v>0.001</x:v>
      </x:c>
      <x:c r="I19" s="39" t="n">
        <x:v>1</x:v>
      </x:c>
      <x:c r="J19" s="39" t="n">
        <x:v>0.3</x:v>
      </x:c>
      <x:c r="K19" s="17" t="str">
        <x:v>N/A</x:v>
      </x:c>
      <x:c r="L19" s="17" t="str">
        <x:v>Use materials and sections from INP</x:v>
      </x:c>
      <x:c r="M19" s="17" t="str">
        <x:v>Select one existing node; enter exact coordinates</x:v>
      </x:c>
      <x:c r="N19" s="40" t="n">
        <x:v>372</x:v>
      </x:c>
      <x:c r="O19" s="40" t="n">
        <x:v>497</x:v>
      </x:c>
      <x:c r="P19" s="40" t="n">
        <x:v>371</x:v>
      </x:c>
      <x:c r="Q19" s="41" t="n">
        <x:v>544.8</x:v>
      </x:c>
      <x:c r="R19" s="17" t="str">
        <x:v>CH-Lattice_Hybrid_model-3D.txt</x:v>
      </x:c>
      <x:c r="S19" s="17" t="str">
        <x:v>NIAH_ABAQUS_Progress_Lattice_Hybrid_model_20260802.txt</x:v>
      </x:c>
    </x:row>
    <x:row r="20" ht="30" customHeight="1">
      <x:c r="A20" s="17" t="str">
        <x:v>Lattice_Hybrid_model</x:v>
      </x:c>
      <x:c r="B20" s="17" t="str">
        <x:v>Mixed beam/shell demonstration</x:v>
      </x:c>
      <x:c r="C20" s="17" t="str">
        <x:v>plate</x:v>
      </x:c>
      <x:c r="D20" s="17" t="str">
        <x:v>Lattice_Hybrid_model.inp</x:v>
      </x:c>
      <x:c r="E20" s="17" t="str">
        <x:v>Model</x:v>
      </x:c>
      <x:c r="F20" s="17" t="str">
        <x:v>B31/S3</x:v>
      </x:c>
      <x:c r="G20" s="29" t="n">
        <x:v>8</x:v>
      </x:c>
      <x:c r="H20" s="38" t="n">
        <x:v>0.001</x:v>
      </x:c>
      <x:c r="I20" s="39" t="n">
        <x:v>1</x:v>
      </x:c>
      <x:c r="J20" s="39" t="n">
        <x:v>0.3</x:v>
      </x:c>
      <x:c r="K20" s="17" t="n">
        <x:v>3</x:v>
      </x:c>
      <x:c r="L20" s="17" t="str">
        <x:v>Use materials and sections from INP</x:v>
      </x:c>
      <x:c r="M20" s="17" t="str">
        <x:v>Select one existing node; enter exact coordinates</x:v>
      </x:c>
      <x:c r="N20" s="40" t="n">
        <x:v>372</x:v>
      </x:c>
      <x:c r="O20" s="40" t="n">
        <x:v>497</x:v>
      </x:c>
      <x:c r="P20" s="40" t="n">
        <x:v>371</x:v>
      </x:c>
      <x:c r="Q20" s="41" t="n">
        <x:v>544.8</x:v>
      </x:c>
      <x:c r="R20" s="17" t="str">
        <x:v>CH-Lattice_Hybrid_model-shell-nz.txt</x:v>
      </x:c>
      <x:c r="S20" s="17" t="str">
        <x:v>NIAH_ABAQUS_Progress_Lattice_Hybrid_model_20260802.txt</x:v>
      </x:c>
    </x:row>
    <x:row r="21" ht="30" customHeight="1">
      <x:c r="A21" s="17" t="str">
        <x:v>Octet_beam</x:v>
      </x:c>
      <x:c r="B21" s="17" t="str">
        <x:v>3D benchmark</x:v>
      </x:c>
      <x:c r="C21" s="17" t="str">
        <x:v>3D</x:v>
      </x:c>
      <x:c r="D21" s="17" t="str">
        <x:v>Octet_beam.inp</x:v>
      </x:c>
      <x:c r="E21" s="17" t="str">
        <x:v>Model</x:v>
      </x:c>
      <x:c r="F21" s="17" t="str">
        <x:v>B31</x:v>
      </x:c>
      <x:c r="G21" s="29" t="n">
        <x:v>8</x:v>
      </x:c>
      <x:c r="H21" s="38" t="n">
        <x:v>0.001</x:v>
      </x:c>
      <x:c r="I21" s="39" t="n">
        <x:v>1</x:v>
      </x:c>
      <x:c r="J21" s="39" t="n">
        <x:v>0.3</x:v>
      </x:c>
      <x:c r="K21" s="17" t="str">
        <x:v>N/A</x:v>
      </x:c>
      <x:c r="L21" s="17" t="str">
        <x:v>Use materials and sections from INP</x:v>
      </x:c>
      <x:c r="M21" s="17" t="str">
        <x:v>Select one existing node; enter exact coordinates</x:v>
      </x:c>
      <x:c r="N21" s="40" t="n">
        <x:v>338</x:v>
      </x:c>
      <x:c r="O21" s="40" t="n">
        <x:v>360</x:v>
      </x:c>
      <x:c r="P21" s="40" t="n">
        <x:v>338</x:v>
      </x:c>
      <x:c r="Q21" s="41" t="n">
        <x:v>338.7</x:v>
      </x:c>
      <x:c r="R21" s="17" t="str">
        <x:v>CH-Octet_beam-3D.txt</x:v>
      </x:c>
      <x:c r="S21" s="17" t="str">
        <x:v>NIAH_ABAQUS_Progress_Octet_beam_20260727.txt</x:v>
      </x:c>
    </x:row>
    <x:row r="22" ht="30" customHeight="1">
      <x:c r="A22" s="17" t="str">
        <x:v>Plate_T1050</x:v>
      </x:c>
      <x:c r="B22" s="17" t="str">
        <x:v>Plate mesh-convergence study</x:v>
      </x:c>
      <x:c r="C22" s="17" t="str">
        <x:v>plate</x:v>
      </x:c>
      <x:c r="D22" s="17" t="str">
        <x:v>Plate_T1050.inp</x:v>
      </x:c>
      <x:c r="E22" s="17" t="str">
        <x:v>Part</x:v>
      </x:c>
      <x:c r="F22" s="17" t="str">
        <x:v>C3D8R</x:v>
      </x:c>
      <x:c r="G22" s="29" t="n">
        <x:v>8</x:v>
      </x:c>
      <x:c r="H22" s="38" t="n">
        <x:v>0.001</x:v>
      </x:c>
      <x:c r="I22" s="39" t="n">
        <x:v>1</x:v>
      </x:c>
      <x:c r="J22" s="39" t="n">
        <x:v>0.3</x:v>
      </x:c>
      <x:c r="K22" s="17" t="n">
        <x:v>3</x:v>
      </x:c>
      <x:c r="L22" s="17" t="str">
        <x:v>Assign uniform GUI material</x:v>
      </x:c>
      <x:c r="M22" s="17" t="str">
        <x:v>Select one existing node; enter exact coordinates</x:v>
      </x:c>
      <x:c r="N22" s="40" t="n">
        <x:v>1440</x:v>
      </x:c>
      <x:c r="O22" s="40" t="n">
        <x:v>1050</x:v>
      </x:c>
      <x:c r="P22" s="40" t="n">
        <x:v>1440</x:v>
      </x:c>
      <x:c r="Q22" s="41" t="n">
        <x:v>549</x:v>
      </x:c>
      <x:c r="R22" s="17" t="str">
        <x:v>CH-Plate_T1050-shell-nz.txt</x:v>
      </x:c>
      <x:c r="S22" s="17" t="str">
        <x:v>NIAH_ABAQUS_Progress_Plate_T1050_20260730.txt</x:v>
      </x:c>
    </x:row>
    <x:row r="23" ht="30" customHeight="1">
      <x:c r="A23" s="17" t="str">
        <x:v>Plate_T1260</x:v>
      </x:c>
      <x:c r="B23" s="17" t="str">
        <x:v>Plate mesh-convergence study</x:v>
      </x:c>
      <x:c r="C23" s="17" t="str">
        <x:v>plate</x:v>
      </x:c>
      <x:c r="D23" s="17" t="str">
        <x:v>Plate_T1260.inp</x:v>
      </x:c>
      <x:c r="E23" s="17" t="str">
        <x:v>Part</x:v>
      </x:c>
      <x:c r="F23" s="17" t="str">
        <x:v>C3D8R</x:v>
      </x:c>
      <x:c r="G23" s="29" t="n">
        <x:v>8</x:v>
      </x:c>
      <x:c r="H23" s="38" t="n">
        <x:v>0.001</x:v>
      </x:c>
      <x:c r="I23" s="39" t="n">
        <x:v>1</x:v>
      </x:c>
      <x:c r="J23" s="39" t="n">
        <x:v>0.3</x:v>
      </x:c>
      <x:c r="K23" s="17" t="n">
        <x:v>3</x:v>
      </x:c>
      <x:c r="L23" s="17" t="str">
        <x:v>Assign uniform GUI material</x:v>
      </x:c>
      <x:c r="M23" s="17" t="str">
        <x:v>Select one existing node; enter exact coordinates</x:v>
      </x:c>
      <x:c r="N23" s="40" t="n">
        <x:v>1680</x:v>
      </x:c>
      <x:c r="O23" s="40" t="n">
        <x:v>1260</x:v>
      </x:c>
      <x:c r="P23" s="40" t="n">
        <x:v>1680</x:v>
      </x:c>
      <x:c r="Q23" s="41" t="n">
        <x:v>436.4</x:v>
      </x:c>
      <x:c r="R23" s="17" t="str">
        <x:v>CH-Plate_T1260-shell-nz.txt</x:v>
      </x:c>
      <x:c r="S23" s="17" t="str">
        <x:v>NIAH_ABAQUS_Progress_Plate_T1260_20260730.txt</x:v>
      </x:c>
    </x:row>
    <x:row r="24" ht="30" customHeight="1">
      <x:c r="A24" s="17" t="str">
        <x:v>Plate_T2380</x:v>
      </x:c>
      <x:c r="B24" s="17" t="str">
        <x:v>Plate mesh-convergence study</x:v>
      </x:c>
      <x:c r="C24" s="17" t="str">
        <x:v>plate</x:v>
      </x:c>
      <x:c r="D24" s="17" t="str">
        <x:v>Plate_T2380.inp</x:v>
      </x:c>
      <x:c r="E24" s="17" t="str">
        <x:v>Part</x:v>
      </x:c>
      <x:c r="F24" s="17" t="str">
        <x:v>C3D8R</x:v>
      </x:c>
      <x:c r="G24" s="29" t="n">
        <x:v>8</x:v>
      </x:c>
      <x:c r="H24" s="38" t="n">
        <x:v>0.001</x:v>
      </x:c>
      <x:c r="I24" s="39" t="n">
        <x:v>1</x:v>
      </x:c>
      <x:c r="J24" s="39" t="n">
        <x:v>0.3</x:v>
      </x:c>
      <x:c r="K24" s="17" t="n">
        <x:v>3</x:v>
      </x:c>
      <x:c r="L24" s="17" t="str">
        <x:v>Assign uniform GUI material</x:v>
      </x:c>
      <x:c r="M24" s="17" t="str">
        <x:v>Select one existing node; enter exact coordinates</x:v>
      </x:c>
      <x:c r="N24" s="40" t="n">
        <x:v>3780</x:v>
      </x:c>
      <x:c r="O24" s="40" t="n">
        <x:v>2380</x:v>
      </x:c>
      <x:c r="P24" s="40" t="n">
        <x:v>3780</x:v>
      </x:c>
      <x:c r="Q24" s="41" t="n">
        <x:v>630.8</x:v>
      </x:c>
      <x:c r="R24" s="17" t="str">
        <x:v>CH-Plate_T2380-shell-nz.txt</x:v>
      </x:c>
      <x:c r="S24" s="17" t="str">
        <x:v>NIAH_ABAQUS_Progress_Plate_T2380_20260731.txt</x:v>
      </x:c>
    </x:row>
    <x:row r="25" ht="30" customHeight="1">
      <x:c r="A25" s="17" t="str">
        <x:v>Plate_T25600</x:v>
      </x:c>
      <x:c r="B25" s="17" t="str">
        <x:v>Plate mesh-convergence study</x:v>
      </x:c>
      <x:c r="C25" s="17" t="str">
        <x:v>plate</x:v>
      </x:c>
      <x:c r="D25" s="17" t="str">
        <x:v>Plate_T25600.inp</x:v>
      </x:c>
      <x:c r="E25" s="17" t="str">
        <x:v>Part</x:v>
      </x:c>
      <x:c r="F25" s="17" t="str">
        <x:v>C3D8R</x:v>
      </x:c>
      <x:c r="G25" s="29" t="n">
        <x:v>8</x:v>
      </x:c>
      <x:c r="H25" s="38" t="n">
        <x:v>0.001</x:v>
      </x:c>
      <x:c r="I25" s="39" t="n">
        <x:v>1</x:v>
      </x:c>
      <x:c r="J25" s="39" t="n">
        <x:v>0.3</x:v>
      </x:c>
      <x:c r="K25" s="17" t="n">
        <x:v>3</x:v>
      </x:c>
      <x:c r="L25" s="17" t="str">
        <x:v>Assign uniform GUI material</x:v>
      </x:c>
      <x:c r="M25" s="17" t="str">
        <x:v>Select one existing node; enter exact coordinates</x:v>
      </x:c>
      <x:c r="N25" s="40" t="n">
        <x:v>32805</x:v>
      </x:c>
      <x:c r="O25" s="40" t="n">
        <x:v>25600</x:v>
      </x:c>
      <x:c r="P25" s="40" t="n">
        <x:v>32805</x:v>
      </x:c>
      <x:c r="Q25" s="41" t="n">
        <x:v>1197.6</x:v>
      </x:c>
      <x:c r="R25" s="17" t="str">
        <x:v>CH-Plate_T25600-shell-nz.txt</x:v>
      </x:c>
      <x:c r="S25" s="17" t="str">
        <x:v>NIAH_ABAQUS_Progress_Plate_T25600_20260730.txt</x:v>
      </x:c>
    </x:row>
    <x:row r="26" ht="30" customHeight="1">
      <x:c r="A26" s="17" t="str">
        <x:v>Plate_T420</x:v>
      </x:c>
      <x:c r="B26" s="17" t="str">
        <x:v>Plate mesh-convergence study</x:v>
      </x:c>
      <x:c r="C26" s="17" t="str">
        <x:v>plate</x:v>
      </x:c>
      <x:c r="D26" s="17" t="str">
        <x:v>Plate_T420.inp</x:v>
      </x:c>
      <x:c r="E26" s="17" t="str">
        <x:v>Part</x:v>
      </x:c>
      <x:c r="F26" s="17" t="str">
        <x:v>C3D8R</x:v>
      </x:c>
      <x:c r="G26" s="29" t="n">
        <x:v>8</x:v>
      </x:c>
      <x:c r="H26" s="38" t="n">
        <x:v>0.001</x:v>
      </x:c>
      <x:c r="I26" s="39" t="n">
        <x:v>1</x:v>
      </x:c>
      <x:c r="J26" s="39" t="n">
        <x:v>0.3</x:v>
      </x:c>
      <x:c r="K26" s="17" t="n">
        <x:v>3</x:v>
      </x:c>
      <x:c r="L26" s="17" t="str">
        <x:v>Assign uniform GUI material</x:v>
      </x:c>
      <x:c r="M26" s="17" t="str">
        <x:v>Select one existing node; enter exact coordinates</x:v>
      </x:c>
      <x:c r="N26" s="40" t="n">
        <x:v>720</x:v>
      </x:c>
      <x:c r="O26" s="40" t="n">
        <x:v>420</x:v>
      </x:c>
      <x:c r="P26" s="40" t="n">
        <x:v>720</x:v>
      </x:c>
      <x:c r="Q26" s="41" t="n">
        <x:v>545</x:v>
      </x:c>
      <x:c r="R26" s="17" t="str">
        <x:v>CH-Plate_T420-shell-nz.txt</x:v>
      </x:c>
      <x:c r="S26" s="17" t="str">
        <x:v>NIAH_ABAQUS_Progress_Plate_T420_20260730.txt</x:v>
      </x:c>
    </x:row>
    <x:row r="27" ht="30" customHeight="1">
      <x:c r="A27" s="17" t="str">
        <x:v>Plate_T4760</x:v>
      </x:c>
      <x:c r="B27" s="17" t="str">
        <x:v>Plate mesh-convergence study</x:v>
      </x:c>
      <x:c r="C27" s="17" t="str">
        <x:v>plate</x:v>
      </x:c>
      <x:c r="D27" s="17" t="str">
        <x:v>Plate_T4760.inp</x:v>
      </x:c>
      <x:c r="E27" s="17" t="str">
        <x:v>Part</x:v>
      </x:c>
      <x:c r="F27" s="17" t="str">
        <x:v>C3D8R</x:v>
      </x:c>
      <x:c r="G27" s="29" t="n">
        <x:v>8</x:v>
      </x:c>
      <x:c r="H27" s="38" t="n">
        <x:v>0.001</x:v>
      </x:c>
      <x:c r="I27" s="39" t="n">
        <x:v>1</x:v>
      </x:c>
      <x:c r="J27" s="39" t="n">
        <x:v>0.3</x:v>
      </x:c>
      <x:c r="K27" s="17" t="n">
        <x:v>3</x:v>
      </x:c>
      <x:c r="L27" s="17" t="str">
        <x:v>Assign uniform GUI material</x:v>
      </x:c>
      <x:c r="M27" s="17" t="str">
        <x:v>Select one existing node; enter exact coordinates</x:v>
      </x:c>
      <x:c r="N27" s="40" t="n">
        <x:v>6300</x:v>
      </x:c>
      <x:c r="O27" s="40" t="n">
        <x:v>4760</x:v>
      </x:c>
      <x:c r="P27" s="40" t="n">
        <x:v>6300</x:v>
      </x:c>
      <x:c r="Q27" s="41" t="n">
        <x:v>645</x:v>
      </x:c>
      <x:c r="R27" s="17" t="str">
        <x:v>CH-Plate_T4760-shell-nz.txt</x:v>
      </x:c>
      <x:c r="S27" s="17" t="str">
        <x:v>NIAH_ABAQUS_Progress_Plate_T4760_20260731.txt</x:v>
      </x:c>
    </x:row>
    <x:row r="28" ht="30" customHeight="1">
      <x:c r="A28" s="17" t="str">
        <x:v>Plate_T630</x:v>
      </x:c>
      <x:c r="B28" s="17" t="str">
        <x:v>Plate mesh-convergence study</x:v>
      </x:c>
      <x:c r="C28" s="17" t="str">
        <x:v>plate</x:v>
      </x:c>
      <x:c r="D28" s="17" t="str">
        <x:v>Plate_T630.inp</x:v>
      </x:c>
      <x:c r="E28" s="17" t="str">
        <x:v>Part</x:v>
      </x:c>
      <x:c r="F28" s="17" t="str">
        <x:v>C3D8R</x:v>
      </x:c>
      <x:c r="G28" s="29" t="n">
        <x:v>8</x:v>
      </x:c>
      <x:c r="H28" s="38" t="n">
        <x:v>0.001</x:v>
      </x:c>
      <x:c r="I28" s="39" t="n">
        <x:v>1</x:v>
      </x:c>
      <x:c r="J28" s="39" t="n">
        <x:v>0.3</x:v>
      </x:c>
      <x:c r="K28" s="17" t="n">
        <x:v>3</x:v>
      </x:c>
      <x:c r="L28" s="17" t="str">
        <x:v>Assign uniform GUI material</x:v>
      </x:c>
      <x:c r="M28" s="17" t="str">
        <x:v>Select one existing node; enter exact coordinates</x:v>
      </x:c>
      <x:c r="N28" s="40" t="n">
        <x:v>960</x:v>
      </x:c>
      <x:c r="O28" s="40" t="n">
        <x:v>630</x:v>
      </x:c>
      <x:c r="P28" s="40" t="n">
        <x:v>960</x:v>
      </x:c>
      <x:c r="Q28" s="41" t="n">
        <x:v>547.1</x:v>
      </x:c>
      <x:c r="R28" s="17" t="str">
        <x:v>CH-Plate_T630-shell-nz.txt</x:v>
      </x:c>
      <x:c r="S28" s="17" t="str">
        <x:v>NIAH_ABAQUS_Progress_Plate_T630_20260730.txt</x:v>
      </x:c>
    </x:row>
    <x:row r="29" ht="30" customHeight="1">
      <x:c r="A29" s="17" t="str">
        <x:v>Plate_T7140</x:v>
      </x:c>
      <x:c r="B29" s="17" t="str">
        <x:v>Plate mesh-convergence study</x:v>
      </x:c>
      <x:c r="C29" s="17" t="str">
        <x:v>plate</x:v>
      </x:c>
      <x:c r="D29" s="17" t="str">
        <x:v>Plate_T7140.inp</x:v>
      </x:c>
      <x:c r="E29" s="17" t="str">
        <x:v>Part</x:v>
      </x:c>
      <x:c r="F29" s="17" t="str">
        <x:v>C3D8R</x:v>
      </x:c>
      <x:c r="G29" s="29" t="n">
        <x:v>8</x:v>
      </x:c>
      <x:c r="H29" s="38" t="n">
        <x:v>0.001</x:v>
      </x:c>
      <x:c r="I29" s="39" t="n">
        <x:v>1</x:v>
      </x:c>
      <x:c r="J29" s="39" t="n">
        <x:v>0.3</x:v>
      </x:c>
      <x:c r="K29" s="17" t="n">
        <x:v>3</x:v>
      </x:c>
      <x:c r="L29" s="17" t="str">
        <x:v>Assign uniform GUI material</x:v>
      </x:c>
      <x:c r="M29" s="17" t="str">
        <x:v>Select one existing node; enter exact coordinates</x:v>
      </x:c>
      <x:c r="N29" s="40" t="n">
        <x:v>8820</x:v>
      </x:c>
      <x:c r="O29" s="40" t="n">
        <x:v>7140</x:v>
      </x:c>
      <x:c r="P29" s="40" t="n">
        <x:v>8820</x:v>
      </x:c>
      <x:c r="Q29" s="41" t="n">
        <x:v>669.1</x:v>
      </x:c>
      <x:c r="R29" s="17" t="str">
        <x:v>CH-Plate_T7140-shell-nz.txt</x:v>
      </x:c>
      <x:c r="S29" s="17" t="str">
        <x:v>NIAH_ABAQUS_Progress_Plate_T7140_20260731.txt</x:v>
      </x:c>
    </x:row>
    <x:row r="30" ht="30" customHeight="1">
      <x:c r="A30" s="17" t="str">
        <x:v>Plate_T73926</x:v>
      </x:c>
      <x:c r="B30" s="17" t="str">
        <x:v>Plate mesh-convergence study</x:v>
      </x:c>
      <x:c r="C30" s="17" t="str">
        <x:v>plate</x:v>
      </x:c>
      <x:c r="D30" s="17" t="str">
        <x:v>Plate_T73926.inp</x:v>
      </x:c>
      <x:c r="E30" s="17" t="str">
        <x:v>Part</x:v>
      </x:c>
      <x:c r="F30" s="17" t="str">
        <x:v>C3D8R</x:v>
      </x:c>
      <x:c r="G30" s="29" t="n">
        <x:v>8</x:v>
      </x:c>
      <x:c r="H30" s="38" t="n">
        <x:v>0.001</x:v>
      </x:c>
      <x:c r="I30" s="39" t="n">
        <x:v>1</x:v>
      </x:c>
      <x:c r="J30" s="39" t="n">
        <x:v>0.3</x:v>
      </x:c>
      <x:c r="K30" s="17" t="n">
        <x:v>3</x:v>
      </x:c>
      <x:c r="L30" s="17" t="str">
        <x:v>Assign uniform GUI material</x:v>
      </x:c>
      <x:c r="M30" s="17" t="str">
        <x:v>Select one existing node; enter exact coordinates</x:v>
      </x:c>
      <x:c r="N30" s="40" t="n">
        <x:v>87808</x:v>
      </x:c>
      <x:c r="O30" s="40" t="n">
        <x:v>73926</x:v>
      </x:c>
      <x:c r="P30" s="40" t="n">
        <x:v>87808</x:v>
      </x:c>
      <x:c r="Q30" s="41" t="n">
        <x:v>2162.3</x:v>
      </x:c>
      <x:c r="R30" s="17" t="str">
        <x:v>CH-Plate_T73926-shell-nz.txt</x:v>
      </x:c>
      <x:c r="S30" s="17" t="str">
        <x:v>NIAH_ABAQUS_Progress_Plate_T73926_20260730.txt</x:v>
      </x:c>
    </x:row>
    <x:row r="31" ht="30" customHeight="1">
      <x:c r="A31" s="17" t="str">
        <x:v>Plate_T840</x:v>
      </x:c>
      <x:c r="B31" s="17" t="str">
        <x:v>Plate mesh-convergence study</x:v>
      </x:c>
      <x:c r="C31" s="17" t="str">
        <x:v>plate</x:v>
      </x:c>
      <x:c r="D31" s="17" t="str">
        <x:v>Plate_T840.inp</x:v>
      </x:c>
      <x:c r="E31" s="17" t="str">
        <x:v>Part</x:v>
      </x:c>
      <x:c r="F31" s="17" t="str">
        <x:v>C3D8R</x:v>
      </x:c>
      <x:c r="G31" s="29" t="n">
        <x:v>8</x:v>
      </x:c>
      <x:c r="H31" s="38" t="n">
        <x:v>0.001</x:v>
      </x:c>
      <x:c r="I31" s="39" t="n">
        <x:v>1</x:v>
      </x:c>
      <x:c r="J31" s="39" t="n">
        <x:v>0.3</x:v>
      </x:c>
      <x:c r="K31" s="17" t="n">
        <x:v>3</x:v>
      </x:c>
      <x:c r="L31" s="17" t="str">
        <x:v>Assign uniform GUI material</x:v>
      </x:c>
      <x:c r="M31" s="17" t="str">
        <x:v>Select one existing node; enter exact coordinates</x:v>
      </x:c>
      <x:c r="N31" s="40" t="n">
        <x:v>1200</x:v>
      </x:c>
      <x:c r="O31" s="40" t="n">
        <x:v>840</x:v>
      </x:c>
      <x:c r="P31" s="40" t="n">
        <x:v>1200</x:v>
      </x:c>
      <x:c r="Q31" s="41" t="n">
        <x:v>548.3</x:v>
      </x:c>
      <x:c r="R31" s="17" t="str">
        <x:v>CH-Plate_T840-shell-nz.txt</x:v>
      </x:c>
      <x:c r="S31" s="17" t="str">
        <x:v>NIAH_ABAQUS_Progress_Plate_T840_20260730.txt</x:v>
      </x:c>
    </x:row>
    <x:row r="32" ht="30" customHeight="1">
      <x:c r="A32" s="17" t="str">
        <x:v>Truss_sandwich_solid</x:v>
      </x:c>
      <x:c r="B32" s="17" t="str">
        <x:v>Plate benchmark</x:v>
      </x:c>
      <x:c r="C32" s="17" t="str">
        <x:v>plate</x:v>
      </x:c>
      <x:c r="D32" s="17" t="str">
        <x:v>Truss_sandwich_solid.inp</x:v>
      </x:c>
      <x:c r="E32" s="17" t="str">
        <x:v>Part</x:v>
      </x:c>
      <x:c r="F32" s="17" t="str">
        <x:v>C3D20R</x:v>
      </x:c>
      <x:c r="G32" s="29" t="n">
        <x:v>8</x:v>
      </x:c>
      <x:c r="H32" s="38" t="n">
        <x:v>0.001</x:v>
      </x:c>
      <x:c r="I32" s="39" t="n">
        <x:v>206000</x:v>
      </x:c>
      <x:c r="J32" s="39" t="n">
        <x:v>0.3</x:v>
      </x:c>
      <x:c r="K32" s="17" t="n">
        <x:v>3</x:v>
      </x:c>
      <x:c r="L32" s="17" t="str">
        <x:v>Assign uniform GUI material</x:v>
      </x:c>
      <x:c r="M32" s="17" t="str">
        <x:v>Select one existing node; enter exact coordinates</x:v>
      </x:c>
      <x:c r="N32" s="40" t="n">
        <x:v>91392</x:v>
      </x:c>
      <x:c r="O32" s="40" t="n">
        <x:v>32640</x:v>
      </x:c>
      <x:c r="P32" s="40" t="n">
        <x:v>91392</x:v>
      </x:c>
      <x:c r="Q32" s="41" t="n">
        <x:v>1890.3</x:v>
      </x:c>
      <x:c r="R32" s="17" t="str">
        <x:v>CH-Truss_sandwich_solid-shell-nz.txt</x:v>
      </x:c>
      <x:c r="S32" s="17" t="str">
        <x:v>NIAH_ABAQUS_Progress_Truss_sandwich_solid_20260731.txt</x:v>
      </x:c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15"/>
      <x:c r="M33" s="15"/>
      <x:c r="N33" s="15"/>
      <x:c r="O33" s="15"/>
      <x:c r="P33" s="15"/>
      <x:c r="Q33" s="15"/>
      <x:c r="R33" s="15"/>
      <x:c r="S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15"/>
      <x:c r="M34" s="15"/>
      <x:c r="N34" s="15"/>
      <x:c r="O34" s="15"/>
      <x:c r="P34" s="15"/>
      <x:c r="Q34" s="15"/>
      <x:c r="R34" s="15"/>
      <x:c r="S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15"/>
      <x:c r="M35" s="15"/>
      <x:c r="N35" s="15"/>
      <x:c r="O35" s="15"/>
      <x:c r="P35" s="15"/>
      <x:c r="Q35" s="15"/>
      <x:c r="R35" s="15"/>
      <x:c r="S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15"/>
      <x:c r="M36" s="15"/>
      <x:c r="N36" s="15"/>
      <x:c r="O36" s="15"/>
      <x:c r="P36" s="15"/>
      <x:c r="Q36" s="15"/>
      <x:c r="R36" s="15"/>
      <x:c r="S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  <x:c r="M37" s="15"/>
      <x:c r="N37" s="15"/>
      <x:c r="O37" s="15"/>
      <x:c r="P37" s="15"/>
      <x:c r="Q37" s="15"/>
      <x:c r="R37" s="15"/>
      <x:c r="S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  <x:c r="M38" s="15"/>
      <x:c r="N38" s="15"/>
      <x:c r="O38" s="15"/>
      <x:c r="P38" s="15"/>
      <x:c r="Q38" s="15"/>
      <x:c r="R38" s="15"/>
      <x:c r="S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  <x:c r="N39" s="15"/>
      <x:c r="O39" s="15"/>
      <x:c r="P39" s="15"/>
      <x:c r="Q39" s="15"/>
      <x:c r="R39" s="15"/>
      <x:c r="S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</x:row>
  </x:sheetData>
  <x:mergeCells>
    <x:mergeCell ref="A1:S1"/>
    <x:mergeCell ref="A2: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</x:cols>
  <x:sheetData>
    <x:row r="1" ht="30" customHeight="1">
      <x:c r="A1" s="14" t="str">
        <x:v>Reference computer and solver allocation</x:v>
      </x:c>
      <x:c r="B1" s="14" t="str">
        <x:v>Reference computer and solver allocation</x:v>
      </x:c>
      <x:c r="C1" s="14" t="str">
        <x:v>Reference computer and solver allocation</x:v>
      </x:c>
      <x:c r="D1" s="14" t="str">
        <x:v>Reference computer and solver allocation</x:v>
      </x:c>
    </x:row>
    <x:row r="2">
      <x:c r="A2" s="15"/>
      <x:c r="B2" s="15"/>
      <x:c r="C2" s="15"/>
      <x:c r="D2" s="15"/>
    </x:row>
    <x:row r="3">
      <x:c r="A3" s="28" t="str">
        <x:v>Field</x:v>
      </x:c>
      <x:c r="B3" s="28" t="str">
        <x:v>Reference value</x:v>
      </x:c>
      <x:c r="C3" s="15"/>
      <x:c r="D3" s="15"/>
    </x:row>
    <x:row r="4">
      <x:c r="A4" s="16" t="str">
        <x:v>Operating system</x:v>
      </x:c>
      <x:c r="B4" s="17" t="str">
        <x:v>Windows 10 Professional, 64-bit</x:v>
      </x:c>
      <x:c r="C4" s="15"/>
      <x:c r="D4" s="15"/>
    </x:row>
    <x:row r="5">
      <x:c r="A5" s="16" t="str">
        <x:v>Processor</x:v>
      </x:c>
      <x:c r="B5" s="17" t="str">
        <x:v>13th Gen Intel Core i7-13700KF</x:v>
      </x:c>
      <x:c r="C5" s="15"/>
      <x:c r="D5" s="15"/>
    </x:row>
    <x:row r="6">
      <x:c r="A6" s="16" t="str">
        <x:v>Mainboard</x:v>
      </x:c>
      <x:c r="B6" s="17" t="str">
        <x:v>ASUS PRIME B760M-K D4</x:v>
      </x:c>
      <x:c r="C6" s="15"/>
      <x:c r="D6" s="15"/>
    </x:row>
    <x:row r="7">
      <x:c r="A7" s="16" t="str">
        <x:v>Memory</x:v>
      </x:c>
      <x:c r="B7" s="17" t="str">
        <x:v>32 GB DDR4-3200 (16 GB x 2)</x:v>
      </x:c>
      <x:c r="C7" s="15"/>
      <x:c r="D7" s="15"/>
    </x:row>
    <x:row r="8">
      <x:c r="A8" s="16" t="str">
        <x:v>Storage</x:v>
      </x:c>
      <x:c r="B8" s="17" t="str">
        <x:v>WD Blue SN580 1 TB solid-state drive</x:v>
      </x:c>
      <x:c r="C8" s="15"/>
      <x:c r="D8" s="15"/>
    </x:row>
    <x:row r="9">
      <x:c r="A9" s="16" t="str">
        <x:v>Solver CPU count</x:v>
      </x:c>
      <x:c r="B9" s="17" t="n">
        <x:v>8</x:v>
      </x:c>
      <x:c r="C9" s="15"/>
      <x:c r="D9" s="15"/>
    </x:row>
    <x:row r="10">
      <x:c r="A10" s="16" t="str">
        <x:v>Graphics adapter</x:v>
      </x:c>
      <x:c r="B10" s="17" t="str">
        <x:v>NVIDIA GeForce GT 1030, 2 GB</x:v>
      </x:c>
      <x:c r="C10" s="15"/>
      <x:c r="D10" s="15"/>
    </x:row>
    <x:row r="11">
      <x:c r="A11" s="16" t="str">
        <x:v>Source</x:v>
      </x:c>
      <x:c r="B11" s="17" t="str">
        <x:v>ASUS hardware information report supplied by the authors</x:v>
      </x:c>
      <x:c r="C11" s="15"/>
      <x:c r="D11" s="15"/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0" hidden="0" customWidth="1"/>
    <x:col min="3" max="3" width="18" hidden="0" customWidth="1"/>
    <x:col min="4" max="4" width="40" hidden="0" customWidth="1"/>
  </x:cols>
  <x:sheetData>
    <x:row r="1" ht="30" customHeight="1">
      <x:c r="A1" s="14" t="str">
        <x:v>Repository file index</x:v>
      </x:c>
      <x:c r="B1" s="14" t="str">
        <x:v>Repository file index</x:v>
      </x:c>
      <x:c r="C1" s="14" t="str">
        <x:v>Repository file index</x:v>
      </x:c>
      <x:c r="D1" s="14" t="str">
        <x:v>Repository file index</x:v>
      </x:c>
    </x:row>
    <x:row r="2">
      <x:c r="A2" s="15"/>
      <x:c r="B2" s="15"/>
      <x:c r="C2" s="15"/>
      <x:c r="D2" s="15"/>
    </x:row>
    <x:row r="3">
      <x:c r="A3" s="28" t="str">
        <x:v>Directory</x:v>
      </x:c>
      <x:c r="B3" s="28" t="str">
        <x:v>Contents</x:v>
      </x:c>
      <x:c r="C3" s="28" t="str">
        <x:v>Format</x:v>
      </x:c>
      <x:c r="D3" s="28" t="str">
        <x:v>Reproducibility role</x:v>
      </x:c>
    </x:row>
    <x:row r="4">
      <x:c r="A4" s="17" t="str">
        <x:v>NIAH Abaqus Plugin/</x:v>
      </x:c>
      <x:c r="B4" s="17" t="str">
        <x:v>Complete readable plug-in and homogenization-kernel source</x:v>
      </x:c>
      <x:c r="C4" s="17" t="str">
        <x:v>Python</x:v>
      </x:c>
      <x:c r="D4" s="17" t="str">
        <x:v>Method implementation</x:v>
      </x:c>
    </x:row>
    <x:row r="5">
      <x:c r="A5" s="17" t="str">
        <x:v>examples/input_files/</x:v>
      </x:c>
      <x:c r="B5" s="17" t="str">
        <x:v>All manuscript and convergence-study input meshes</x:v>
      </x:c>
      <x:c r="C5" s="17" t="str">
        <x:v>INP</x:v>
      </x:c>
      <x:c r="D5" s="17" t="str">
        <x:v>Model reconstruction</x:v>
      </x:c>
    </x:row>
    <x:row r="6">
      <x:c r="A6" s="17" t="str">
        <x:v>reference_outputs/logs/</x:v>
      </x:c>
      <x:c r="B6" s="17" t="str">
        <x:v>Recorded preprocessing and solver progress logs</x:v>
      </x:c>
      <x:c r="C6" s="17" t="str">
        <x:v>TXT</x:v>
      </x:c>
      <x:c r="D6" s="17" t="str">
        <x:v>Timing and run-trace evidence</x:v>
      </x:c>
    </x:row>
    <x:row r="7">
      <x:c r="A7" s="17" t="str">
        <x:v>reference_outputs/txt_results/</x:v>
      </x:c>
      <x:c r="B7" s="17" t="str">
        <x:v>Effective stiffness outputs</x:v>
      </x:c>
      <x:c r="C7" s="17" t="str">
        <x:v>TXT</x:v>
      </x:c>
      <x:c r="D7" s="17" t="str">
        <x:v>Numerical reference results</x:v>
      </x:c>
    </x:row>
    <x:row r="8">
      <x:c r="A8" s="17" t="str">
        <x:v>reference_outputs/statistics/</x:v>
      </x:c>
      <x:c r="B8" s="17" t="str">
        <x:v>Comparison and structure-level workbooks</x:v>
      </x:c>
      <x:c r="C8" s="17" t="str">
        <x:v>XLSX</x:v>
      </x:c>
      <x:c r="D8" s="17" t="str">
        <x:v>Processed validation data</x:v>
      </x:c>
    </x:row>
    <x:row r="9">
      <x:c r="A9" s="17" t="str">
        <x:v>reference_outputs/structural_data/</x:v>
      </x:c>
      <x:c r="B9" s="17" t="str">
        <x:v>Structure-level CSV data</x:v>
      </x:c>
      <x:c r="C9" s="17" t="str">
        <x:v>CSV</x:v>
      </x:c>
      <x:c r="D9" s="17" t="str">
        <x:v>Frequency/static validation data</x:v>
      </x:c>
    </x:row>
    <x:row r="10">
      <x:c r="A10" s="17" t="str">
        <x:v>reproducibility/</x:v>
      </x:c>
      <x:c r="B10" s="17" t="str">
        <x:v>This guide, checksums, and protocol</x:v>
      </x:c>
      <x:c r="C10" s="17" t="str">
        <x:v>XLSX/MD/SHA256</x:v>
      </x:c>
      <x:c r="D10" s="17" t="str">
        <x:v>Execution and integrity guidance</x:v>
      </x:c>
    </x:row>
    <x:row r="11">
      <x:c r="A11" s="17" t="str">
        <x:v>docs/</x:v>
      </x:c>
      <x:c r="B11" s="17" t="str">
        <x:v>License, third-party notice, and technical audit</x:v>
      </x:c>
      <x:c r="C11" s="17" t="str">
        <x:v>MD</x:v>
      </x:c>
      <x:c r="D11" s="17" t="str">
        <x:v>Provenance and release review</x:v>
      </x:c>
    </x:row>
  </x:sheetData>
  <x:mergeCells>
    <x:mergeCell ref="A1:D1"/>
  </x:mergeCells>
  <x:pageMargins left="0.7" right="0.7" top="0.75" bottom="0.75" header="0.3" footer="0.3"/>
</x:worksheet>
</file>