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7b9613e576b4fc5" /></Relationships>
</file>

<file path=xl/workbook.xml><?xml version="1.0" encoding="utf-8"?>
<x:workbook xmlns:x="http://schemas.openxmlformats.org/spreadsheetml/2006/main">
  <x:sheets>
    <x:sheet xmlns:r="http://schemas.openxmlformats.org/officeDocument/2006/relationships" name="Overview" sheetId="1" r:id="R8a87d0a62860425a"/>
    <x:sheet xmlns:r="http://schemas.openxmlformats.org/officeDocument/2006/relationships" name="Workflow" sheetId="2" r:id="R7b72c21fedcf48e3"/>
    <x:sheet xmlns:r="http://schemas.openxmlformats.org/officeDocument/2006/relationships" name="Case Settings" sheetId="3" r:id="Ra8a3c20b890b4726"/>
    <x:sheet xmlns:r="http://schemas.openxmlformats.org/officeDocument/2006/relationships" name="Hardware" sheetId="4" r:id="R1cb519bf5e154000"/>
    <x:sheet xmlns:r="http://schemas.openxmlformats.org/officeDocument/2006/relationships" name="File Index" sheetId="5" r:id="R3563b321016f4de7"/>
  </x:sheets>
</x:workbook>
</file>

<file path=xl/sharedStrings.xml><?xml version="1.0" encoding="utf-8"?>
<x:sst xmlns:x="http://schemas.openxmlformats.org/spreadsheetml/2006/main">
  <x:si>
    <x:t xml:space="preserve">NIAH open-source reproducibility guide</x:t>
  </x:si>
  <x:si>
    <x:t xml:space="preserve">Release scope</x:t>
  </x:si>
  <x:si>
    <x:t xml:space="preserve">Complete readable Abaqus-Python source, input models, logs, TXT results, and statistical workbooks</x:t>
  </x:si>
  <x:si>
    <x:t xml:space="preserve">Solver CPUs</x:t>
  </x:si>
  <x:si>
    <x:t xml:space="preserve">Recorded runs</x:t>
  </x:si>
  <x:si>
    <x:t xml:space="preserve">3D runs</x:t>
  </x:si>
  <x:si>
    <x:t xml:space="preserve">Plate runs</x:t>
  </x:si>
  <x:si>
    <x:t xml:space="preserve">Important: Abaqus is proprietary software and is not distributed with this repository. The supplied logs are reference evidence from completed runs; no Abaqus job is required to inspect the source or outputs.</x:t>
  </x:si>
  <x:si>
    <x:t xml:space="preserve">Plug-in execution workflow</x:t>
  </x:si>
  <x:si>
    <x:t xml:space="preserve">Step</x:t>
  </x:si>
  <x:si>
    <x:t xml:space="preserve">Phase</x:t>
  </x:si>
  <x:si>
    <x:t xml:space="preserve">Action</x:t>
  </x:si>
  <x:si>
    <x:t xml:space="preserve">Verification</x:t>
  </x:si>
  <x:si>
    <x:t xml:space="preserve">Install</x:t>
  </x:si>
  <x:si>
    <x:t xml:space="preserve">The NIAH menu entry is visible.</x:t>
  </x:si>
  <x:si>
    <x:t xml:space="preserve">Prepare</x:t>
  </x:si>
  <x:si>
    <x:t xml:space="preserve">Use the supplied INP without renumbering nodes. Opposite periodic boundaries must have one-to-one matching nodes.</x:t>
  </x:si>
  <x:si>
    <x:t xml:space="preserve">Inspect the mesh and periodic cell axes.</x:t>
  </x:si>
  <x:si>
    <x:t xml:space="preserve">Configure</x:t>
  </x:si>
  <x:si>
    <x:t xml:space="preserve">Open Plug-ins &gt; NIAH Homogenization and select the INP directory and case name.</x:t>
  </x:si>
  <x:si>
    <x:t xml:space="preserve">The selected file exists and is readable.</x:t>
  </x:si>
  <x:si>
    <x:t xml:space="preserve">Choose 3D or plate homogenization and the primary element type listed in Case Settings.</x:t>
  </x:si>
  <x:si>
    <x:t xml:space="preserve">The element type matches the INP.</x:t>
  </x:si>
  <x:si>
    <x:t xml:space="preserve">Use Part mode for uniform-property meshes; use Model mode when the INP contains mixed elements or multiple section definitions.</x:t>
  </x:si>
  <x:si>
    <x:t xml:space="preserve">Materials/sections follow the Case Settings strategy.</x:t>
  </x:si>
  <x:si>
    <x:t xml:space="preserve">Anchor</x:t>
  </x:si>
  <x:si>
    <x:t xml:space="preserve">Select an existing node and enter its exact coordinates as the translational reference anchor.</x:t>
  </x:si>
  <x:si>
    <x:t xml:space="preserve">Exactly one node lies within the anchor tolerance.</x:t>
  </x:si>
  <x:si>
    <x:t xml:space="preserve">Run</x:t>
  </x:si>
  <x:si>
    <x:t xml:space="preserve">Enable preprocessing and solver execution. Resume may remain enabled; INP/STA/ODB checkpoints are retained.</x:t>
  </x:si>
  <x:si>
    <x:t xml:space="preserve">The progress log reports each load case as completed.</x:t>
  </x:si>
  <x:si>
    <x:t xml:space="preserve">Output</x:t>
  </x:si>
  <x:si>
    <x:t xml:space="preserve">Read the effective matrix from NIAH_CH_txt. Compare against the supplied reference TXT with the same case name.</x:t>
  </x:si>
  <x:si>
    <x:t xml:space="preserve">Values agree within the study-specific tolerance.</x:t>
  </x:si>
  <x:si>
    <x:t xml:space="preserve">Cleanup</x:t>
  </x:si>
  <x:si>
    <x:t xml:space="preserve">The plug-in performs recoverable cleanup after a successful run and archives transient job files outside niah_workbench.</x:t>
  </x:si>
  <x:si>
    <x:t xml:space="preserve">Required checkpoints and result files remain available.</x:t>
  </x:si>
  <x:si>
    <x:t xml:space="preserve">Case-specific plug-in settings and reference run metadata</x:t>
  </x:si>
  <x:si>
    <x:t xml:space="preserve">Counts are parsed directly from the supplied INP files; elapsed times and loaded-node counts are parsed from the supplied progress logs.</x:t>
  </x:si>
  <x:si>
    <x:t xml:space="preserve">Case</x:t>
  </x:si>
  <x:si>
    <x:t xml:space="preserve">Purpose</x:t>
  </x:si>
  <x:si>
    <x:t xml:space="preserve">Analysis</x:t>
  </x:si>
  <x:si>
    <x:t xml:space="preserve">Input INP</x:t>
  </x:si>
  <x:si>
    <x:t xml:space="preserve">Pre-mode</x:t>
  </x:si>
  <x:si>
    <x:t xml:space="preserve">Element type</x:t>
  </x:si>
  <x:si>
    <x:t xml:space="preserve">CPUs</x:t>
  </x:si>
  <x:si>
    <x:t xml:space="preserve">Mesh tolerance</x:t>
  </x:si>
  <x:si>
    <x:t xml:space="preserve">Young's modulus</x:t>
  </x:si>
  <x:si>
    <x:t xml:space="preserve">Poisson ratio</x:t>
  </x:si>
  <x:si>
    <x:t xml:space="preserve">Non-periodic direction</x:t>
  </x:si>
  <x:si>
    <x:t xml:space="preserve">Property strategy</x:t>
  </x:si>
  <x:si>
    <x:t xml:space="preserve">Reference-node rule</x:t>
  </x:si>
  <x:si>
    <x:t xml:space="preserve">INP nodes</x:t>
  </x:si>
  <x:si>
    <x:t xml:space="preserve">INP elements</x:t>
  </x:si>
  <x:si>
    <x:t xml:space="preserve">Logged nodes</x:t>
  </x:si>
  <x:si>
    <x:t xml:space="preserve">Elapsed time (s)</x:t>
  </x:si>
  <x:si>
    <x:t xml:space="preserve">Reference TXT</x:t>
  </x:si>
  <x:si>
    <x:t xml:space="preserve">Progress log</x:t>
  </x:si>
  <x:si>
    <x:t xml:space="preserve">Cube_E1000</x:t>
  </x:si>
  <x:si>
    <x:t xml:space="preserve">3D mesh-convergence study</x:t>
  </x:si>
  <x:si>
    <x:t xml:space="preserve">3D</x:t>
  </x:si>
  <x:si>
    <x:t xml:space="preserve">Cube_E1000.inp</x:t>
  </x:si>
  <x:si>
    <x:t xml:space="preserve">Part</x:t>
  </x:si>
  <x:si>
    <x:t xml:space="preserve">C3D8R</x:t>
  </x:si>
  <x:si>
    <x:t xml:space="preserve">N/A</x:t>
  </x:si>
  <x:si>
    <x:t xml:space="preserve">Assign uniform GUI material</x:t>
  </x:si>
  <x:si>
    <x:t xml:space="preserve">Select one existing node; enter exact coordinates</x:t>
  </x:si>
  <x:si>
    <x:t xml:space="preserve">CH-Cube_E1000-3D.txt</x:t>
  </x:si>
  <x:si>
    <x:t xml:space="preserve">NIAH_ABAQUS_Progress_Cube_E1000_20260727.txt</x:t>
  </x:si>
  <x:si>
    <x:t xml:space="preserve">Cube_E125</x:t>
  </x:si>
  <x:si>
    <x:t xml:space="preserve">Cube_E125.inp</x:t>
  </x:si>
  <x:si>
    <x:t xml:space="preserve">CH-Cube_E125-3D.txt</x:t>
  </x:si>
  <x:si>
    <x:t xml:space="preserve">NIAH_ABAQUS_Progress_Cube_E125_20260802.txt</x:t>
  </x:si>
  <x:si>
    <x:t xml:space="preserve">Cube_E216</x:t>
  </x:si>
  <x:si>
    <x:t xml:space="preserve">Cube_E216.inp</x:t>
  </x:si>
  <x:si>
    <x:t xml:space="preserve">CH-Cube_E216-3D.txt</x:t>
  </x:si>
  <x:si>
    <x:t xml:space="preserve">NIAH_ABAQUS_Progress_Cube_E216_20260802.txt</x:t>
  </x:si>
  <x:si>
    <x:t xml:space="preserve">Cube_E27</x:t>
  </x:si>
  <x:si>
    <x:t xml:space="preserve">Cube_E27.inp</x:t>
  </x:si>
  <x:si>
    <x:t xml:space="preserve">CH-Cube_E27-3D.txt</x:t>
  </x:si>
  <x:si>
    <x:t xml:space="preserve">NIAH_ABAQUS_Progress_Cube_E27_20260802.txt</x:t>
  </x:si>
  <x:si>
    <x:t xml:space="preserve">Cube_E343</x:t>
  </x:si>
  <x:si>
    <x:t xml:space="preserve">Cube_E343.inp</x:t>
  </x:si>
  <x:si>
    <x:t xml:space="preserve">CH-Cube_E343-3D.txt</x:t>
  </x:si>
  <x:si>
    <x:t xml:space="preserve">NIAH_ABAQUS_Progress_Cube_E343_20260802.txt</x:t>
  </x:si>
  <x:si>
    <x:t xml:space="preserve">Cube_E512</x:t>
  </x:si>
  <x:si>
    <x:t xml:space="preserve">Cube_E512.inp</x:t>
  </x:si>
  <x:si>
    <x:t xml:space="preserve">CH-Cube_E512-3D.txt</x:t>
  </x:si>
  <x:si>
    <x:t xml:space="preserve">NIAH_ABAQUS_Progress_Cube_E512_20260802.txt</x:t>
  </x:si>
  <x:si>
    <x:t xml:space="preserve">Cube_E64</x:t>
  </x:si>
  <x:si>
    <x:t xml:space="preserve">Cube_E64.inp</x:t>
  </x:si>
  <x:si>
    <x:t xml:space="preserve">CH-Cube_E64-3D.txt</x:t>
  </x:si>
  <x:si>
    <x:t xml:space="preserve">NIAH_ABAQUS_Progress_Cube_E64_20260802.txt</x:t>
  </x:si>
  <x:si>
    <x:t xml:space="preserve">Cube_E729</x:t>
  </x:si>
  <x:si>
    <x:t xml:space="preserve">Cube_E729.inp</x:t>
  </x:si>
  <x:si>
    <x:t xml:space="preserve">CH-Cube_E729-3D.txt</x:t>
  </x:si>
  <x:si>
    <x:t xml:space="preserve">NIAH_ABAQUS_Progress_Cube_E729_20260802.txt</x:t>
  </x:si>
  <x:si>
    <x:t xml:space="preserve">Cube_E8</x:t>
  </x:si>
  <x:si>
    <x:t xml:space="preserve">Cube_E8.inp</x:t>
  </x:si>
  <x:si>
    <x:t xml:space="preserve">CH-Cube_E8-3D.txt</x:t>
  </x:si>
  <x:si>
    <x:t xml:space="preserve">NIAH_ABAQUS_Progress_Cube_E8_20260802.txt</x:t>
  </x:si>
  <x:si>
    <x:t xml:space="preserve">Cubic_center_beam</x:t>
  </x:si>
  <x:si>
    <x:t xml:space="preserve">3D benchmark</x:t>
  </x:si>
  <x:si>
    <x:t xml:space="preserve">Cubic_center_beam.inp</x:t>
  </x:si>
  <x:si>
    <x:t xml:space="preserve">Model</x:t>
  </x:si>
  <x:si>
    <x:t xml:space="preserve">B31</x:t>
  </x:si>
  <x:si>
    <x:t xml:space="preserve">Use materials and sections from INP</x:t>
  </x:si>
  <x:si>
    <x:t xml:space="preserve">CH-Cubic_center_beam-3D.txt</x:t>
  </x:si>
  <x:si>
    <x:t xml:space="preserve">NIAH_ABAQUS_Progress_Cubic_center_beam_20260802.txt</x:t>
  </x:si>
  <x:si>
    <x:t xml:space="preserve">Cubic_center_solid</x:t>
  </x:si>
  <x:si>
    <x:t xml:space="preserve">Cubic_center_solid.inp</x:t>
  </x:si>
  <x:si>
    <x:t xml:space="preserve">C3D4</x:t>
  </x:si>
  <x:si>
    <x:t xml:space="preserve">CH-Cubic_center_solid-3D.txt</x:t>
  </x:si>
  <x:si>
    <x:t xml:space="preserve">NIAH_ABAQUS_Progress_Cubic_center_solid_20260727.txt</x:t>
  </x:si>
  <x:si>
    <x:t xml:space="preserve">Hexagonal_honeycomb_shell</x:t>
  </x:si>
  <x:si>
    <x:t xml:space="preserve">Plate element-formulation study</x:t>
  </x:si>
  <x:si>
    <x:t xml:space="preserve">plate</x:t>
  </x:si>
  <x:si>
    <x:t xml:space="preserve">Hexagonal_honeycomb_shell.inp</x:t>
  </x:si>
  <x:si>
    <x:t xml:space="preserve">S4R</x:t>
  </x:si>
  <x:si>
    <x:t xml:space="preserve">CH-Hexagonal_honeycomb_shell-shell-nz.txt</x:t>
  </x:si>
  <x:si>
    <x:t xml:space="preserve">NIAH_ABAQUS_Progress_Hexagonal_honeycomb_shell_20260805.txt</x:t>
  </x:si>
  <x:si>
    <x:t xml:space="preserve">Hexagonal_honeycomb_shell_S4</x:t>
  </x:si>
  <x:si>
    <x:t xml:space="preserve">Hexagonal_honeycomb_shel_S4.inp</x:t>
  </x:si>
  <x:si>
    <x:t xml:space="preserve">S4</x:t>
  </x:si>
  <x:si>
    <x:t xml:space="preserve">CH-Hexagonal_honeycomb_shell_S4-shell-nz.txt</x:t>
  </x:si>
  <x:si>
    <x:t xml:space="preserve">NIAH_ABAQUS_Progress_Hexagonal_honeycomb_shell_S4_20260731.txt</x:t>
  </x:si>
  <x:si>
    <x:t xml:space="preserve">Hexagonal_honeycomb_solid</x:t>
  </x:si>
  <x:si>
    <x:t xml:space="preserve">Hexagonal_honeycomb_C3D8R.inp</x:t>
  </x:si>
  <x:si>
    <x:t xml:space="preserve">CH-Hexagonal_honeycomb_solid-shell-nz.txt</x:t>
  </x:si>
  <x:si>
    <x:t xml:space="preserve">NIAH_ABAQUS_Progress_Hexagonal_honeycomb_C3D8R_20260731.txt</x:t>
  </x:si>
  <x:si>
    <x:t xml:space="preserve">Lattice_Hybrid_model</x:t>
  </x:si>
  <x:si>
    <x:t xml:space="preserve">Mixed beam/shell demonstration</x:t>
  </x:si>
  <x:si>
    <x:t xml:space="preserve">Lattice_Hybrid_model.inp</x:t>
  </x:si>
  <x:si>
    <x:t xml:space="preserve">B31/S3</x:t>
  </x:si>
  <x:si>
    <x:t xml:space="preserve">CH-Lattice_Hybrid_model-3D.txt</x:t>
  </x:si>
  <x:si>
    <x:t xml:space="preserve">NIAH_ABAQUS_Progress_Lattice_Hybrid_model_20260802.txt</x:t>
  </x:si>
  <x:si>
    <x:t xml:space="preserve">CH-Lattice_Hybrid_model-shell-nz.txt</x:t>
  </x:si>
  <x:si>
    <x:t xml:space="preserve">Octet_beam</x:t>
  </x:si>
  <x:si>
    <x:t xml:space="preserve">Octet_beam.inp</x:t>
  </x:si>
  <x:si>
    <x:t xml:space="preserve">CH-Octet_beam-3D.txt</x:t>
  </x:si>
  <x:si>
    <x:t xml:space="preserve">NIAH_ABAQUS_Progress_Octet_beam_20260727.txt</x:t>
  </x:si>
  <x:si>
    <x:t xml:space="preserve">Plate_T1050</x:t>
  </x:si>
  <x:si>
    <x:t xml:space="preserve">Plate mesh-convergence study</x:t>
  </x:si>
  <x:si>
    <x:t xml:space="preserve">Plate_T1050.inp</x:t>
  </x:si>
  <x:si>
    <x:t xml:space="preserve">CH-Plate_T1050-shell-nz.txt</x:t>
  </x:si>
  <x:si>
    <x:t xml:space="preserve">NIAH_ABAQUS_Progress_Plate_T1050_20260730.txt</x:t>
  </x:si>
  <x:si>
    <x:t xml:space="preserve">Plate_T1260</x:t>
  </x:si>
  <x:si>
    <x:t xml:space="preserve">Plate_T1260.inp</x:t>
  </x:si>
  <x:si>
    <x:t xml:space="preserve">CH-Plate_T1260-shell-nz.txt</x:t>
  </x:si>
  <x:si>
    <x:t xml:space="preserve">NIAH_ABAQUS_Progress_Plate_T1260_20260730.txt</x:t>
  </x:si>
  <x:si>
    <x:t xml:space="preserve">Plate_T2380</x:t>
  </x:si>
  <x:si>
    <x:t xml:space="preserve">Plate_T2380.inp</x:t>
  </x:si>
  <x:si>
    <x:t xml:space="preserve">CH-Plate_T2380-shell-nz.txt</x:t>
  </x:si>
  <x:si>
    <x:t xml:space="preserve">NIAH_ABAQUS_Progress_Plate_T2380_20260731.txt</x:t>
  </x:si>
  <x:si>
    <x:t xml:space="preserve">Plate_T25600</x:t>
  </x:si>
  <x:si>
    <x:t xml:space="preserve">Plate_T25600.inp</x:t>
  </x:si>
  <x:si>
    <x:t xml:space="preserve">CH-Plate_T25600-shell-nz.txt</x:t>
  </x:si>
  <x:si>
    <x:t xml:space="preserve">NIAH_ABAQUS_Progress_Plate_T25600_20260730.txt</x:t>
  </x:si>
  <x:si>
    <x:t xml:space="preserve">Plate_T420</x:t>
  </x:si>
  <x:si>
    <x:t xml:space="preserve">Plate_T420.inp</x:t>
  </x:si>
  <x:si>
    <x:t xml:space="preserve">CH-Plate_T420-shell-nz.txt</x:t>
  </x:si>
  <x:si>
    <x:t xml:space="preserve">NIAH_ABAQUS_Progress_Plate_T420_20260730.txt</x:t>
  </x:si>
  <x:si>
    <x:t xml:space="preserve">Plate_T4760</x:t>
  </x:si>
  <x:si>
    <x:t xml:space="preserve">Plate_T4760.inp</x:t>
  </x:si>
  <x:si>
    <x:t xml:space="preserve">CH-Plate_T4760-shell-nz.txt</x:t>
  </x:si>
  <x:si>
    <x:t xml:space="preserve">NIAH_ABAQUS_Progress_Plate_T4760_20260731.txt</x:t>
  </x:si>
  <x:si>
    <x:t xml:space="preserve">Plate_T630</x:t>
  </x:si>
  <x:si>
    <x:t xml:space="preserve">Plate_T630.inp</x:t>
  </x:si>
  <x:si>
    <x:t xml:space="preserve">CH-Plate_T630-shell-nz.txt</x:t>
  </x:si>
  <x:si>
    <x:t xml:space="preserve">NIAH_ABAQUS_Progress_Plate_T630_20260730.txt</x:t>
  </x:si>
  <x:si>
    <x:t xml:space="preserve">Plate_T7140</x:t>
  </x:si>
  <x:si>
    <x:t xml:space="preserve">Plate_T7140.inp</x:t>
  </x:si>
  <x:si>
    <x:t xml:space="preserve">CH-Plate_T7140-shell-nz.txt</x:t>
  </x:si>
  <x:si>
    <x:t xml:space="preserve">NIAH_ABAQUS_Progress_Plate_T7140_20260731.txt</x:t>
  </x:si>
  <x:si>
    <x:t xml:space="preserve">Plate_T73926</x:t>
  </x:si>
  <x:si>
    <x:t xml:space="preserve">Plate_T73926.inp</x:t>
  </x:si>
  <x:si>
    <x:t xml:space="preserve">CH-Plate_T73926-shell-nz.txt</x:t>
  </x:si>
  <x:si>
    <x:t xml:space="preserve">NIAH_ABAQUS_Progress_Plate_T73926_20260730.txt</x:t>
  </x:si>
  <x:si>
    <x:t xml:space="preserve">Plate_T840</x:t>
  </x:si>
  <x:si>
    <x:t xml:space="preserve">Plate_T840.inp</x:t>
  </x:si>
  <x:si>
    <x:t xml:space="preserve">CH-Plate_T840-shell-nz.txt</x:t>
  </x:si>
  <x:si>
    <x:t xml:space="preserve">NIAH_ABAQUS_Progress_Plate_T840_20260730.txt</x:t>
  </x:si>
  <x:si>
    <x:t xml:space="preserve">Truss_sandwich_solid</x:t>
  </x:si>
  <x:si>
    <x:t xml:space="preserve">Plate benchmark</x:t>
  </x:si>
  <x:si>
    <x:t xml:space="preserve">Truss_sandwich_solid.inp</x:t>
  </x:si>
  <x:si>
    <x:t xml:space="preserve">C3D20R</x:t>
  </x:si>
  <x:si>
    <x:t xml:space="preserve">CH-Truss_sandwich_solid-shell-nz.txt</x:t>
  </x:si>
  <x:si>
    <x:t xml:space="preserve">NIAH_ABAQUS_Progress_Truss_sandwich_solid_20260731.txt</x:t>
  </x:si>
  <x:si>
    <x:t xml:space="preserve">Reference computer and solver allocation</x:t>
  </x:si>
  <x:si>
    <x:t xml:space="preserve">Field</x:t>
  </x:si>
  <x:si>
    <x:t xml:space="preserve">Reference value</x:t>
  </x:si>
  <x:si>
    <x:t xml:space="preserve">Operating system</x:t>
  </x:si>
  <x:si>
    <x:t xml:space="preserve">Windows 10 Professional, 64-bit</x:t>
  </x:si>
  <x:si>
    <x:t xml:space="preserve">Processor</x:t>
  </x:si>
  <x:si>
    <x:t xml:space="preserve">13th Gen Intel Core i7-13700KF</x:t>
  </x:si>
  <x:si>
    <x:t xml:space="preserve">Mainboard</x:t>
  </x:si>
  <x:si>
    <x:t xml:space="preserve">ASUS PRIME B760M-K D4</x:t>
  </x:si>
  <x:si>
    <x:t xml:space="preserve">Memory</x:t>
  </x:si>
  <x:si>
    <x:t xml:space="preserve">32 GB DDR4-3200 (16 GB x 2)</x:t>
  </x:si>
  <x:si>
    <x:t xml:space="preserve">Storage</x:t>
  </x:si>
  <x:si>
    <x:t xml:space="preserve">WD Blue SN580 1 TB solid-state drive</x:t>
  </x:si>
  <x:si>
    <x:t xml:space="preserve">Solver CPU count</x:t>
  </x:si>
  <x:si>
    <x:t xml:space="preserve">Graphics adapter</x:t>
  </x:si>
  <x:si>
    <x:t xml:space="preserve">NVIDIA GeForce GT 1030, 2 GB</x:t>
  </x:si>
  <x:si>
    <x:t xml:space="preserve">Source</x:t>
  </x:si>
  <x:si>
    <x:t xml:space="preserve">ASUS hardware information report supplied by the authors</x:t>
  </x:si>
  <x:si>
    <x:t xml:space="preserve">Repository file index</x:t>
  </x:si>
  <x:si>
    <x:t xml:space="preserve">Directory</x:t>
  </x:si>
  <x:si>
    <x:t xml:space="preserve">Contents</x:t>
  </x:si>
  <x:si>
    <x:t xml:space="preserve">Format</x:t>
  </x:si>
  <x:si>
    <x:t xml:space="preserve">Reproducibility role</x:t>
  </x:si>
  <x:si>
    <x:t xml:space="preserve">NIAH Abaqus Plugin/</x:t>
  </x:si>
  <x:si>
    <x:t xml:space="preserve">Complete readable plug-in and homogenization-kernel source</x:t>
  </x:si>
  <x:si>
    <x:t xml:space="preserve">Python</x:t>
  </x:si>
  <x:si>
    <x:t xml:space="preserve">Method implementation</x:t>
  </x:si>
  <x:si>
    <x:t xml:space="preserve">examples/input_files/</x:t>
  </x:si>
  <x:si>
    <x:t xml:space="preserve">All manuscript and convergence-study input meshes</x:t>
  </x:si>
  <x:si>
    <x:t xml:space="preserve">INP</x:t>
  </x:si>
  <x:si>
    <x:t xml:space="preserve">Model reconstruction</x:t>
  </x:si>
  <x:si>
    <x:t xml:space="preserve">reference_outputs/logs/</x:t>
  </x:si>
  <x:si>
    <x:t xml:space="preserve">Recorded preprocessing and solver progress logs</x:t>
  </x:si>
  <x:si>
    <x:t xml:space="preserve">TXT</x:t>
  </x:si>
  <x:si>
    <x:t xml:space="preserve">Timing and run-trace evidence</x:t>
  </x:si>
  <x:si>
    <x:t xml:space="preserve">reference_outputs/txt_results/</x:t>
  </x:si>
  <x:si>
    <x:t xml:space="preserve">Effective stiffness outputs</x:t>
  </x:si>
  <x:si>
    <x:t xml:space="preserve">Numerical reference results</x:t>
  </x:si>
  <x:si>
    <x:t xml:space="preserve">reference_outputs/statistics/</x:t>
  </x:si>
  <x:si>
    <x:t xml:space="preserve">Comparison and structure-level workbooks</x:t>
  </x:si>
  <x:si>
    <x:t xml:space="preserve">XLSX</x:t>
  </x:si>
  <x:si>
    <x:t xml:space="preserve">Processed validation data</x:t>
  </x:si>
  <x:si>
    <x:t xml:space="preserve">reference_outputs/structural_data/</x:t>
  </x:si>
  <x:si>
    <x:t xml:space="preserve">Frequency/static validation data</x:t>
  </x:si>
  <x:si>
    <x:t xml:space="preserve">reproducibility/</x:t>
  </x:si>
</x:sst>
</file>

<file path=xl/styles.xml><?xml version="1.0" encoding="utf-8"?>
<x:styleSheet xmlns:x="http://schemas.openxmlformats.org/spreadsheetml/2006/main">
  <x:numFmts count="7">
    <x:numFmt numFmtId="41" formatCode="_ * #,##0_ ;_ * \-#,##0_ ;_ * &quot;-&quot;_ ;_ @_ "/>
    <x:numFmt numFmtId="42" formatCode="_ &quot;￥&quot;* #,##0_ ;_ &quot;￥&quot;* \-#,##0_ ;_ &quot;￥&quot;* &quot;-&quot;_ ;_ @_ "/>
    <x:numFmt numFmtId="43" formatCode="_ * #,##0.00_ ;_ * \-#,##0.00_ ;_ * &quot;-&quot;??_ ;_ @_ "/>
    <x:numFmt numFmtId="44" formatCode="_ &quot;￥&quot;* #,##0.00_ ;_ &quot;￥&quot;* \-#,##0.00_ ;_ &quot;￥&quot;* &quot;-&quot;??_ ;_ @_ "/>
    <x:numFmt numFmtId="176" formatCode="0.000E+00"/>
    <x:numFmt numFmtId="177" formatCode="0.0000"/>
    <x:numFmt numFmtId="178" formatCode="#,##0.0"/>
  </x:numFmts>
  <x:fonts count="26">
    <x:font>
      <x:sz val="11"/>
      <x:name val="Carlito"/>
    </x:font>
    <x:font>
      <x:b/>
      <x:sz val="16"/>
      <x:color rgb="FFFFFFFF"/>
      <x:name val="Arial"/>
    </x:font>
    <x:font>
      <x:sz val="11"/>
      <x:name val="Arial"/>
    </x:font>
    <x:font>
      <x:b/>
      <x:sz val="11"/>
      <x:color rgb="FFFFFFFF"/>
      <x:name val="Arial"/>
    </x:font>
    <x:font>
      <x:b/>
      <x:sz val="11"/>
      <x:name val="Arial"/>
    </x:font>
    <x:font>
      <x:i/>
      <x:sz val="11"/>
      <x:name val="Arial"/>
    </x:font>
    <x:font>
      <x:sz val="11"/>
      <x:color theme="1"/>
      <x:name val="Calibri"/>
    </x:font>
    <x:font>
      <x:sz val="11"/>
      <x:color rgb="FF0000FF"/>
      <x:name val="Calibri"/>
    </x:font>
    <x:font>
      <x:sz val="11"/>
      <x:color rgb="FF800080"/>
      <x:name val="Calibri"/>
    </x:font>
    <x:font>
      <x:sz val="11"/>
      <x:color rgb="FFFF0000"/>
      <x:name val="Calibri"/>
    </x:font>
    <x:font>
      <x:b/>
      <x:sz val="18"/>
      <x:color theme="3"/>
      <x:name val="Calibri"/>
    </x:font>
    <x:font>
      <x:i/>
      <x:sz val="11"/>
      <x:color rgb="FF7F7F7F"/>
      <x:name val="Calibri"/>
    </x:font>
    <x:font>
      <x:b/>
      <x:sz val="15"/>
      <x:color theme="3"/>
      <x:name val="Calibri"/>
    </x:font>
    <x:font>
      <x:b/>
      <x:sz val="13"/>
      <x:color theme="3"/>
      <x:name val="Calibri"/>
    </x:font>
    <x:font>
      <x:b/>
      <x:sz val="11"/>
      <x:color theme="3"/>
      <x:name val="Calibri"/>
    </x:font>
    <x:font>
      <x:sz val="11"/>
      <x:color rgb="FF3F3F76"/>
      <x:name val="Calibri"/>
    </x:font>
    <x:font>
      <x:b/>
      <x:sz val="11"/>
      <x:color rgb="FF3F3F3F"/>
      <x:name val="Calibri"/>
    </x:font>
    <x:font>
      <x:b/>
      <x:sz val="11"/>
      <x:color rgb="FFFA7D00"/>
      <x:name val="Calibri"/>
    </x:font>
    <x:font>
      <x:b/>
      <x:sz val="11"/>
      <x:color rgb="FFFFFFFF"/>
      <x:name val="Calibri"/>
    </x:font>
    <x:font>
      <x:sz val="11"/>
      <x:color rgb="FFFA7D00"/>
      <x:name val="Calibri"/>
    </x:font>
    <x:font>
      <x:b/>
      <x:sz val="11"/>
      <x:color theme="1"/>
      <x:name val="Calibri"/>
    </x:font>
    <x:font>
      <x:sz val="11"/>
      <x:color rgb="FF006100"/>
      <x:name val="Calibri"/>
    </x:font>
    <x:font>
      <x:sz val="11"/>
      <x:color rgb="FF9C0006"/>
      <x:name val="Calibri"/>
    </x:font>
    <x:font>
      <x:sz val="11"/>
      <x:color rgb="FF9C6500"/>
      <x:name val="Calibri"/>
    </x:font>
    <x:font>
      <x:sz val="11"/>
      <x:color theme="0"/>
      <x:name val="Calibri"/>
    </x:font>
    <x:font>
      <x:sz val="11"/>
      <x:color theme="1"/>
      <x:name val="Calibri"/>
    </x:font>
  </x:fonts>
  <x:fills count="37">
    <x:fill>
      <x:patternFill patternType="none"/>
    </x:fill>
    <x:fill>
      <x:patternFill patternType="gray125"/>
    </x:fill>
    <x:fill>
      <x:patternFill patternType="solid">
        <x:fgColor rgb="FF17365D"/>
      </x:patternFill>
    </x:fill>
    <x:fill>
      <x:patternFill patternType="solid">
        <x:fgColor rgb="FF2F75B5"/>
      </x:patternFill>
    </x:fill>
    <x:fill>
      <x:patternFill patternType="solid">
        <x:fgColor rgb="FFD9EAF7"/>
      </x:patternFill>
    </x:fill>
    <x:fill>
      <x:patternFill patternType="solid">
        <x:fgColor rgb="FFF2F2F2"/>
      </x:patternFill>
    </x:fill>
    <x:fill>
      <x:patternFill patternType="solid">
        <x:fgColor rgb="FFE2F0D9"/>
      </x:patternFill>
    </x:fill>
    <x:fill>
      <x:patternFill patternType="solid">
        <x:fgColor rgb="FFFFFFCC"/>
      </x:patternFill>
    </x:fill>
    <x:fill>
      <x:patternFill patternType="solid">
        <x:fgColor rgb="FFFFCC99"/>
      </x:patternFill>
    </x:fill>
    <x:fill>
      <x:patternFill patternType="solid">
        <x:fgColor rgb="FFA5A5A5"/>
      </x:patternFill>
    </x:fill>
    <x:fill>
      <x:patternFill patternType="solid">
        <x:fgColor rgb="FFC6EFCE"/>
      </x:patternFill>
    </x:fill>
    <x:fill>
      <x:patternFill patternType="solid">
        <x:fgColor rgb="FFFFC7CE"/>
      </x:patternFill>
    </x:fill>
    <x:fill>
      <x:patternFill patternType="solid">
        <x:fgColor rgb="FFFFEB9C"/>
      </x:patternFill>
    </x:fill>
    <x:fill>
      <x:patternFill patternType="solid">
        <x:fgColor theme="4"/>
      </x:patternFill>
    </x:fill>
    <x:fill>
      <x:patternFill patternType="solid">
        <x:fgColor theme="4" tint="0.79998"/>
      </x:patternFill>
    </x:fill>
    <x:fill>
      <x:patternFill patternType="solid">
        <x:fgColor theme="4" tint="0.59999"/>
      </x:patternFill>
    </x:fill>
    <x:fill>
      <x:patternFill patternType="solid">
        <x:fgColor theme="4" tint="0.39998"/>
      </x:patternFill>
    </x:fill>
    <x:fill>
      <x:patternFill patternType="solid">
        <x:fgColor theme="5"/>
      </x:patternFill>
    </x:fill>
    <x:fill>
      <x:patternFill patternType="solid">
        <x:fgColor theme="5" tint="0.79998"/>
      </x:patternFill>
    </x:fill>
    <x:fill>
      <x:patternFill patternType="solid">
        <x:fgColor theme="5" tint="0.59999"/>
      </x:patternFill>
    </x:fill>
    <x:fill>
      <x:patternFill patternType="solid">
        <x:fgColor theme="5" tint="0.39998"/>
      </x:patternFill>
    </x:fill>
    <x:fill>
      <x:patternFill patternType="solid">
        <x:fgColor theme="6"/>
      </x:patternFill>
    </x:fill>
    <x:fill>
      <x:patternFill patternType="solid">
        <x:fgColor theme="6" tint="0.79998"/>
      </x:patternFill>
    </x:fill>
    <x:fill>
      <x:patternFill patternType="solid">
        <x:fgColor theme="6" tint="0.59999"/>
      </x:patternFill>
    </x:fill>
    <x:fill>
      <x:patternFill patternType="solid">
        <x:fgColor theme="6" tint="0.39998"/>
      </x:patternFill>
    </x:fill>
    <x:fill>
      <x:patternFill patternType="solid">
        <x:fgColor theme="7"/>
      </x:patternFill>
    </x:fill>
    <x:fill>
      <x:patternFill patternType="solid">
        <x:fgColor theme="7" tint="0.79998"/>
      </x:patternFill>
    </x:fill>
    <x:fill>
      <x:patternFill patternType="solid">
        <x:fgColor theme="7" tint="0.59999"/>
      </x:patternFill>
    </x:fill>
    <x:fill>
      <x:patternFill patternType="solid">
        <x:fgColor theme="7" tint="0.39998"/>
      </x:patternFill>
    </x:fill>
    <x:fill>
      <x:patternFill patternType="solid">
        <x:fgColor theme="8"/>
      </x:patternFill>
    </x:fill>
    <x:fill>
      <x:patternFill patternType="solid">
        <x:fgColor theme="8" tint="0.79998"/>
      </x:patternFill>
    </x:fill>
    <x:fill>
      <x:patternFill patternType="solid">
        <x:fgColor theme="8" tint="0.59999"/>
      </x:patternFill>
    </x:fill>
    <x:fill>
      <x:patternFill patternType="solid">
        <x:fgColor theme="8" tint="0.39998"/>
      </x:patternFill>
    </x:fill>
    <x:fill>
      <x:patternFill patternType="solid">
        <x:fgColor theme="9"/>
      </x:patternFill>
    </x:fill>
    <x:fill>
      <x:patternFill patternType="solid">
        <x:fgColor theme="9" tint="0.79998"/>
      </x:patternFill>
    </x:fill>
    <x:fill>
      <x:patternFill patternType="solid">
        <x:fgColor theme="9" tint="0.59999"/>
      </x:patternFill>
    </x:fill>
    <x:fill>
      <x:patternFill patternType="solid">
        <x:fgColor theme="9" tint="0.39998"/>
      </x:patternFill>
    </x:fill>
  </x:fills>
  <x:borders count="10">
    <x:border/>
    <x:border>
      <x:left style="thin">
        <x:color rgb="FFD9E2F3"/>
      </x:left>
      <x:right style="thin">
        <x:color rgb="FFD9E2F3"/>
      </x:right>
      <x:top style="thin">
        <x:color rgb="FFD9E2F3"/>
      </x:top>
      <x:bottom style="thin">
        <x:color rgb="FFD9E2F3"/>
      </x:bottom>
    </x:border>
    <x:border>
      <x:left style="thin">
        <x:color rgb="FFB2B2B2"/>
      </x:left>
      <x:right style="thin">
        <x:color rgb="FFB2B2B2"/>
      </x:right>
      <x:top style="thin">
        <x:color rgb="FFB2B2B2"/>
      </x:top>
      <x:bottom style="thin">
        <x:color rgb="FFB2B2B2"/>
      </x:bottom>
    </x:border>
    <x:border>
      <x:bottom style="medium">
        <x:color theme="4"/>
      </x:bottom>
    </x:border>
    <x:border>
      <x:bottom style="medium">
        <x:color theme="4" tint="0.49998"/>
      </x:bottom>
    </x:border>
    <x:border>
      <x:left style="thin">
        <x:color rgb="FF7F7F7F"/>
      </x:left>
      <x:right style="thin">
        <x:color rgb="FF7F7F7F"/>
      </x:right>
      <x:top style="thin">
        <x:color rgb="FF7F7F7F"/>
      </x:top>
      <x:bottom style="thin">
        <x:color rgb="FF7F7F7F"/>
      </x:bottom>
    </x:border>
    <x:border>
      <x:left style="thin">
        <x:color rgb="FF3F3F3F"/>
      </x:left>
      <x:right style="thin">
        <x:color rgb="FF3F3F3F"/>
      </x:right>
      <x:top style="thin">
        <x:color rgb="FF3F3F3F"/>
      </x:top>
      <x:bottom style="thin">
        <x:color rgb="FF3F3F3F"/>
      </x:bottom>
    </x:border>
    <x:border>
      <x:left style="double">
        <x:color rgb="FF3F3F3F"/>
      </x:left>
      <x:right style="double">
        <x:color rgb="FF3F3F3F"/>
      </x:right>
      <x:top style="double">
        <x:color rgb="FF3F3F3F"/>
      </x:top>
      <x:bottom style="double">
        <x:color rgb="FF3F3F3F"/>
      </x:bottom>
    </x:border>
    <x:border>
      <x:bottom style="double">
        <x:color rgb="FFFF8001"/>
      </x:bottom>
    </x:border>
    <x:border>
      <x:top style="thin">
        <x:color theme="4"/>
      </x:top>
      <x:bottom style="double">
        <x:color theme="4"/>
      </x:bottom>
    </x:border>
  </x:borders>
  <x:cellStyleXfs count="50">
    <x:xf numFmtId="0" fontId="0" fillId="0" borderId="0">
      <x:alignment vertical="center"/>
    </x:xf>
    <x:xf numFmtId="43" fontId="6" fillId="0" borderId="0" applyFont="0" applyFill="0" applyBorder="0" applyAlignment="0" applyProtection="0">
      <x:alignment vertical="center"/>
    </x:xf>
    <x:xf numFmtId="44" fontId="6" fillId="0" borderId="0" applyFont="0" applyFill="0" applyBorder="0" applyAlignment="0" applyProtection="0">
      <x:alignment vertical="center"/>
    </x:xf>
    <x:xf numFmtId="9" fontId="6" fillId="0" borderId="0" applyFont="0" applyFill="0" applyBorder="0" applyAlignment="0" applyProtection="0">
      <x:alignment vertical="center"/>
    </x:xf>
    <x:xf numFmtId="41" fontId="6" fillId="0" borderId="0" applyFont="0" applyFill="0" applyBorder="0" applyAlignment="0" applyProtection="0">
      <x:alignment vertical="center"/>
    </x:xf>
    <x:xf numFmtId="42" fontId="6" fillId="0" borderId="0" applyFont="0" applyFill="0" applyBorder="0" applyAlignment="0" applyProtection="0">
      <x:alignment vertical="center"/>
    </x:xf>
    <x:xf numFmtId="0" fontId="7" fillId="0" borderId="0" applyNumberFormat="0" applyFill="0" applyBorder="0" applyAlignment="0" applyProtection="0">
      <x:alignment vertical="center"/>
    </x:xf>
    <x:xf numFmtId="0" fontId="8" fillId="0" borderId="0" applyNumberFormat="0" applyFill="0" applyBorder="0" applyAlignment="0" applyProtection="0">
      <x:alignment vertical="center"/>
    </x:xf>
    <x:xf numFmtId="0" fontId="6" fillId="7" borderId="2" applyNumberFormat="0" applyFont="0" applyAlignment="0" applyProtection="0">
      <x:alignment vertical="center"/>
    </x:xf>
    <x:xf numFmtId="0" fontId="9" fillId="0" borderId="0" applyNumberFormat="0" applyFill="0" applyBorder="0" applyAlignment="0" applyProtection="0">
      <x:alignment vertical="center"/>
    </x:xf>
    <x:xf numFmtId="0" fontId="10" fillId="0" borderId="0" applyNumberFormat="0" applyFill="0" applyBorder="0" applyAlignment="0" applyProtection="0">
      <x:alignment vertical="center"/>
    </x:xf>
    <x:xf numFmtId="0" fontId="11" fillId="0" borderId="0" applyNumberFormat="0" applyFill="0" applyBorder="0" applyAlignment="0" applyProtection="0">
      <x:alignment vertical="center"/>
    </x:xf>
    <x:xf numFmtId="0" fontId="12" fillId="0" borderId="3" applyNumberFormat="0" applyFill="0" applyAlignment="0" applyProtection="0">
      <x:alignment vertical="center"/>
    </x:xf>
    <x:xf numFmtId="0" fontId="13" fillId="0" borderId="3" applyNumberFormat="0" applyFill="0" applyAlignment="0" applyProtection="0">
      <x:alignment vertical="center"/>
    </x:xf>
    <x:xf numFmtId="0" fontId="14" fillId="0" borderId="4" applyNumberFormat="0" applyFill="0" applyAlignment="0" applyProtection="0">
      <x:alignment vertical="center"/>
    </x:xf>
    <x:xf numFmtId="0" fontId="14" fillId="0" borderId="0" applyNumberFormat="0" applyFill="0" applyBorder="0" applyAlignment="0" applyProtection="0">
      <x:alignment vertical="center"/>
    </x:xf>
    <x:xf numFmtId="0" fontId="15" fillId="8" borderId="5" applyNumberFormat="0" applyAlignment="0" applyProtection="0">
      <x:alignment vertical="center"/>
    </x:xf>
    <x:xf numFmtId="0" fontId="16" fillId="5" borderId="6" applyNumberFormat="0" applyAlignment="0" applyProtection="0">
      <x:alignment vertical="center"/>
    </x:xf>
    <x:xf numFmtId="0" fontId="17" fillId="5" borderId="5" applyNumberFormat="0" applyAlignment="0" applyProtection="0">
      <x:alignment vertical="center"/>
    </x:xf>
    <x:xf numFmtId="0" fontId="18" fillId="9" borderId="7" applyNumberFormat="0" applyAlignment="0" applyProtection="0">
      <x:alignment vertical="center"/>
    </x:xf>
    <x:xf numFmtId="0" fontId="19" fillId="0" borderId="8" applyNumberFormat="0" applyFill="0" applyAlignment="0" applyProtection="0">
      <x:alignment vertical="center"/>
    </x:xf>
    <x:xf numFmtId="0" fontId="20" fillId="0" borderId="9" applyNumberFormat="0" applyFill="0" applyAlignment="0" applyProtection="0">
      <x:alignment vertical="center"/>
    </x:xf>
    <x:xf numFmtId="0" fontId="21" fillId="10" borderId="0" applyNumberFormat="0" applyBorder="0" applyAlignment="0" applyProtection="0">
      <x:alignment vertical="center"/>
    </x:xf>
    <x:xf numFmtId="0" fontId="22" fillId="11" borderId="0" applyNumberFormat="0" applyBorder="0" applyAlignment="0" applyProtection="0">
      <x:alignment vertical="center"/>
    </x:xf>
    <x:xf numFmtId="0" fontId="23" fillId="12" borderId="0" applyNumberFormat="0" applyBorder="0" applyAlignment="0" applyProtection="0">
      <x:alignment vertical="center"/>
    </x:xf>
    <x:xf numFmtId="0" fontId="24" fillId="13" borderId="0" applyNumberFormat="0" applyBorder="0" applyAlignment="0" applyProtection="0">
      <x:alignment vertical="center"/>
    </x:xf>
    <x:xf numFmtId="0" fontId="25" fillId="14" borderId="0" applyNumberFormat="0" applyBorder="0" applyAlignment="0" applyProtection="0">
      <x:alignment vertical="center"/>
    </x:xf>
    <x:xf numFmtId="0" fontId="25" fillId="15" borderId="0" applyNumberFormat="0" applyBorder="0" applyAlignment="0" applyProtection="0">
      <x:alignment vertical="center"/>
    </x:xf>
    <x:xf numFmtId="0" fontId="24" fillId="16" borderId="0" applyNumberFormat="0" applyBorder="0" applyAlignment="0" applyProtection="0">
      <x:alignment vertical="center"/>
    </x:xf>
    <x:xf numFmtId="0" fontId="24" fillId="17" borderId="0" applyNumberFormat="0" applyBorder="0" applyAlignment="0" applyProtection="0">
      <x:alignment vertical="center"/>
    </x:xf>
    <x:xf numFmtId="0" fontId="25" fillId="18" borderId="0" applyNumberFormat="0" applyBorder="0" applyAlignment="0" applyProtection="0">
      <x:alignment vertical="center"/>
    </x:xf>
    <x:xf numFmtId="0" fontId="25" fillId="19" borderId="0" applyNumberFormat="0" applyBorder="0" applyAlignment="0" applyProtection="0">
      <x:alignment vertical="center"/>
    </x:xf>
    <x:xf numFmtId="0" fontId="24" fillId="20" borderId="0" applyNumberFormat="0" applyBorder="0" applyAlignment="0" applyProtection="0">
      <x:alignment vertical="center"/>
    </x:xf>
    <x:xf numFmtId="0" fontId="24" fillId="21" borderId="0" applyNumberFormat="0" applyBorder="0" applyAlignment="0" applyProtection="0">
      <x:alignment vertical="center"/>
    </x:xf>
    <x:xf numFmtId="0" fontId="25" fillId="22" borderId="0" applyNumberFormat="0" applyBorder="0" applyAlignment="0" applyProtection="0">
      <x:alignment vertical="center"/>
    </x:xf>
    <x:xf numFmtId="0" fontId="25" fillId="23" borderId="0" applyNumberFormat="0" applyBorder="0" applyAlignment="0" applyProtection="0">
      <x:alignment vertical="center"/>
    </x:xf>
    <x:xf numFmtId="0" fontId="24" fillId="24" borderId="0" applyNumberFormat="0" applyBorder="0" applyAlignment="0" applyProtection="0">
      <x:alignment vertical="center"/>
    </x:xf>
    <x:xf numFmtId="0" fontId="24" fillId="25" borderId="0" applyNumberFormat="0" applyBorder="0" applyAlignment="0" applyProtection="0">
      <x:alignment vertical="center"/>
    </x:xf>
    <x:xf numFmtId="0" fontId="25" fillId="26" borderId="0" applyNumberFormat="0" applyBorder="0" applyAlignment="0" applyProtection="0">
      <x:alignment vertical="center"/>
    </x:xf>
    <x:xf numFmtId="0" fontId="25" fillId="27" borderId="0" applyNumberFormat="0" applyBorder="0" applyAlignment="0" applyProtection="0">
      <x:alignment vertical="center"/>
    </x:xf>
    <x:xf numFmtId="0" fontId="24" fillId="28" borderId="0" applyNumberFormat="0" applyBorder="0" applyAlignment="0" applyProtection="0">
      <x:alignment vertical="center"/>
    </x:xf>
    <x:xf numFmtId="0" fontId="24" fillId="29" borderId="0" applyNumberFormat="0" applyBorder="0" applyAlignment="0" applyProtection="0">
      <x:alignment vertical="center"/>
    </x:xf>
    <x:xf numFmtId="0" fontId="25" fillId="30" borderId="0" applyNumberFormat="0" applyBorder="0" applyAlignment="0" applyProtection="0">
      <x:alignment vertical="center"/>
    </x:xf>
    <x:xf numFmtId="0" fontId="25" fillId="31" borderId="0" applyNumberFormat="0" applyBorder="0" applyAlignment="0" applyProtection="0">
      <x:alignment vertical="center"/>
    </x:xf>
    <x:xf numFmtId="0" fontId="24" fillId="32" borderId="0" applyNumberFormat="0" applyBorder="0" applyAlignment="0" applyProtection="0">
      <x:alignment vertical="center"/>
    </x:xf>
    <x:xf numFmtId="0" fontId="24" fillId="33" borderId="0" applyNumberFormat="0" applyBorder="0" applyAlignment="0" applyProtection="0">
      <x:alignment vertical="center"/>
    </x:xf>
    <x:xf numFmtId="0" fontId="25" fillId="34" borderId="0" applyNumberFormat="0" applyBorder="0" applyAlignment="0" applyProtection="0">
      <x:alignment vertical="center"/>
    </x:xf>
    <x:xf numFmtId="0" fontId="25" fillId="35" borderId="0" applyNumberFormat="0" applyBorder="0" applyAlignment="0" applyProtection="0">
      <x:alignment vertical="center"/>
    </x:xf>
    <x:xf numFmtId="0" fontId="24" fillId="36" borderId="0" applyNumberFormat="0" applyBorder="0" applyAlignment="0" applyProtection="0">
      <x:alignment vertical="center"/>
    </x:xf>
    <x:xf numFmtId="0" fontId="0" fillId="0" borderId="0"/>
  </x:cellStyleXfs>
  <x:cellXfs count="13">
    <x:xf numFmtId="0" fontId="0" fillId="0" borderId="0" xfId="49"/>
    <x:xf numFmtId="0" fontId="1" fillId="2" borderId="0" xfId="49" applyNumberFormat="1" applyFont="1" applyFill="1" applyBorder="1" applyAlignment="1">
      <x:alignment horizontal="left" vertical="center"/>
    </x:xf>
    <x:xf numFmtId="0" fontId="2" fillId="0" borderId="0" xfId="49" applyNumberFormat="1" applyFont="1" applyFill="1" applyBorder="1"/>
    <x:xf numFmtId="0" fontId="3" fillId="3" borderId="1" xfId="49" applyNumberFormat="1" applyFont="1" applyFill="1" applyBorder="1" applyAlignment="1">
      <x:alignment horizontal="center" vertical="center" wrapText="1"/>
    </x:xf>
    <x:xf numFmtId="0" fontId="2" fillId="0" borderId="1" xfId="49" applyNumberFormat="1" applyFont="1" applyFill="1" applyBorder="1" applyAlignment="1">
      <x:alignment wrapText="1"/>
    </x:xf>
    <x:xf numFmtId="0" fontId="4" fillId="4" borderId="1" xfId="49" applyNumberFormat="1" applyFont="1" applyFill="1" applyBorder="1"/>
    <x:xf numFmtId="0" fontId="5" fillId="5" borderId="0" xfId="49" applyNumberFormat="1" applyFont="1" applyFill="1" applyBorder="1" applyAlignment="1">
      <x:alignment wrapText="1"/>
    </x:xf>
    <x:xf numFmtId="1" fontId="2" fillId="0" borderId="1" xfId="49" applyNumberFormat="1" applyFont="1" applyFill="1" applyBorder="1" applyAlignment="1">
      <x:alignment wrapText="1"/>
    </x:xf>
    <x:xf numFmtId="176" fontId="2" fillId="0" borderId="1" xfId="49" applyNumberFormat="1" applyFont="1" applyFill="1" applyBorder="1" applyAlignment="1">
      <x:alignment wrapText="1"/>
    </x:xf>
    <x:xf numFmtId="177" fontId="2" fillId="0" borderId="1" xfId="49" applyNumberFormat="1" applyFont="1" applyFill="1" applyBorder="1" applyAlignment="1">
      <x:alignment wrapText="1"/>
    </x:xf>
    <x:xf numFmtId="3" fontId="2" fillId="0" borderId="1" xfId="49" applyNumberFormat="1" applyFont="1" applyFill="1" applyBorder="1" applyAlignment="1">
      <x:alignment wrapText="1"/>
    </x:xf>
    <x:xf numFmtId="178" fontId="2" fillId="0" borderId="1" xfId="49" applyNumberFormat="1" applyFont="1" applyFill="1" applyBorder="1" applyAlignment="1">
      <x:alignment wrapText="1"/>
    </x:xf>
    <x:xf numFmtId="0" fontId="2" fillId="6" borderId="1" xfId="49" applyNumberFormat="1" applyFont="1" applyFill="1" applyBorder="1" applyAlignment="1">
      <x:alignment vertical="center" wrapText="1"/>
    </x:xf>
  </x:cellXfs>
  <x:cellStyles count="50">
    <x:cellStyle name="常规" xfId="0"/>
    <x:cellStyle name="千位分隔" xfId="1"/>
    <x:cellStyle name="货币" xfId="2"/>
    <x:cellStyle name="百分比" xfId="3"/>
    <x:cellStyle name="千位分隔[0]" xfId="4"/>
    <x:cellStyle name="货币[0]" xfId="5"/>
    <x:cellStyle name="超链接" xfId="6"/>
    <x:cellStyle name="已访问的超链接" xfId="7"/>
    <x:cellStyle name="注释" xfId="8"/>
    <x:cellStyle name="警告文本" xfId="9"/>
    <x:cellStyle name="标题" xfId="10"/>
    <x:cellStyle name="解释性文本" xfId="11"/>
    <x:cellStyle name="标题 1" xfId="12"/>
    <x:cellStyle name="标题 2" xfId="13"/>
    <x:cellStyle name="标题 3" xfId="14"/>
    <x:cellStyle name="标题 4" xfId="15"/>
    <x:cellStyle name="输入" xfId="16"/>
    <x:cellStyle name="输出" xfId="17"/>
    <x:cellStyle name="计算" xfId="18"/>
    <x:cellStyle name="检查单元格" xfId="19"/>
    <x:cellStyle name="链接单元格" xfId="20"/>
    <x:cellStyle name="汇总" xfId="21"/>
    <x:cellStyle name="好" xfId="22"/>
    <x:cellStyle name="差" xfId="23"/>
    <x:cellStyle name="适中" xfId="24"/>
    <x:cellStyle name="强调文字颜色 1" xfId="25"/>
    <x:cellStyle name="20% - 强调文字颜色 1" xfId="26"/>
    <x:cellStyle name="40% - 强调文字颜色 1" xfId="27"/>
    <x:cellStyle name="60% - 强调文字颜色 1" xfId="28"/>
    <x:cellStyle name="强调文字颜色 2" xfId="29"/>
    <x:cellStyle name="20% - 强调文字颜色 2" xfId="30"/>
    <x:cellStyle name="40% - 强调文字颜色 2" xfId="31"/>
    <x:cellStyle name="60% - 强调文字颜色 2" xfId="32"/>
    <x:cellStyle name="强调文字颜色 3" xfId="33"/>
    <x:cellStyle name="20% - 强调文字颜色 3" xfId="34"/>
    <x:cellStyle name="40% - 强调文字颜色 3" xfId="35"/>
    <x:cellStyle name="60% - 强调文字颜色 3" xfId="36"/>
    <x:cellStyle name="强调文字颜色 4" xfId="37"/>
    <x:cellStyle name="20% - 强调文字颜色 4" xfId="38"/>
    <x:cellStyle name="40% - 强调文字颜色 4" xfId="39"/>
    <x:cellStyle name="60% - 强调文字颜色 4" xfId="40"/>
    <x:cellStyle name="强调文字颜色 5" xfId="41"/>
    <x:cellStyle name="20% - 强调文字颜色 5" xfId="42"/>
    <x:cellStyle name="40% - 强调文字颜色 5" xfId="43"/>
    <x:cellStyle name="60% - 强调文字颜色 5" xfId="44"/>
    <x:cellStyle name="强调文字颜色 6" xfId="45"/>
    <x:cellStyle name="20% - 强调文字颜色 6" xfId="46"/>
    <x:cellStyle name="40% - 强调文字颜色 6" xfId="47"/>
    <x:cellStyle name="60% - 强调文字颜色 6" xfId="48"/>
    <x:cellStyle name="Normal" xfId="49"/>
  </x:cellStyles>
  <x:dxfs count="17">
    <x:dxf>
      <x:fill>
        <x:patternFill>
          <x:bgColor theme="4" tint="0.79998"/>
        </x:patternFill>
      </x:fill>
    </x:dxf>
    <x:dxf>
      <x:fill>
        <x:patternFill>
          <x:bgColor theme="4" tint="0.79998"/>
        </x:patternFill>
      </x:fill>
    </x:dxf>
    <x:dxf>
      <x:font>
        <x:b/>
        <x:color theme="1"/>
      </x:font>
    </x:dxf>
    <x:dxf>
      <x:font>
        <x:b/>
        <x:color theme="1"/>
      </x:font>
    </x:dxf>
    <x:dxf>
      <x:font>
        <x:b/>
        <x:color theme="1"/>
      </x:font>
      <x:border>
        <x:top style="double">
          <x:color theme="4"/>
        </x:top>
      </x:border>
    </x:dxf>
    <x:dxf>
      <x:font>
        <x:b/>
        <x:color theme="0"/>
      </x:font>
      <x:fill>
        <x:patternFill>
          <x:bgColor theme="4"/>
        </x:patternFill>
      </x:fill>
    </x:dxf>
    <x:dxf>
      <x:font>
        <x:color theme="1"/>
      </x:font>
      <x:border>
        <x:left style="thin">
          <x:color theme="4"/>
        </x:left>
        <x:right style="thin">
          <x:color theme="4"/>
        </x:right>
        <x:top style="thin">
          <x:color theme="4"/>
        </x:top>
        <x:bottom style="thin">
          <x:color theme="4"/>
        </x:bottom>
      </x:border>
    </x:dxf>
    <x:dxf>
      <x:fill>
        <x:patternFill>
          <x:bgColor theme="4" tint="0.79998"/>
        </x:patternFill>
      </x:fill>
      <x:border>
        <x:bottom style="thin">
          <x:color theme="4" tint="0.39998"/>
        </x:bottom>
      </x:border>
    </x:dxf>
    <x:dxf>
      <x:font>
        <x:b/>
      </x:font>
      <x:fill>
        <x:patternFill>
          <x:bgColor theme="4" tint="0.79998"/>
        </x:patternFill>
      </x:fill>
      <x:border>
        <x:bottom style="thin">
          <x:color theme="4" tint="0.39998"/>
        </x:bottom>
      </x:border>
    </x:dxf>
    <x:dxf>
      <x:font>
        <x:color theme="1"/>
      </x:font>
    </x:dxf>
    <x:dxf>
      <x:font>
        <x:color theme="1"/>
      </x:font>
      <x:border>
        <x:bottom style="thin">
          <x:color theme="4" tint="0.39998"/>
        </x:bottom>
      </x:border>
    </x:dxf>
    <x:dxf>
      <x:font>
        <x:b/>
        <x:color theme="1"/>
      </x:font>
    </x:dxf>
    <x:dxf>
      <x:font>
        <x:b/>
        <x:color theme="1"/>
      </x:font>
      <x:border>
        <x:top style="thin">
          <x:color theme="4"/>
        </x:top>
        <x:bottom style="thin">
          <x:color theme="4"/>
        </x:bottom>
      </x:border>
    </x:dxf>
    <x:dxf>
      <x:fill>
        <x:patternFill>
          <x:bgColor theme="4" tint="0.79998"/>
        </x:patternFill>
      </x:fill>
    </x:dxf>
    <x:dxf>
      <x:fill>
        <x:patternFill>
          <x:bgColor theme="4" tint="0.79998"/>
        </x:patternFill>
      </x:fill>
    </x:dxf>
    <x:dxf>
      <x:font>
        <x:b/>
        <x:color theme="1"/>
      </x:font>
      <x:fill>
        <x:patternFill>
          <x:bgColor theme="4" tint="0.79998"/>
        </x:patternFill>
      </x:fill>
      <x:border>
        <x:top style="thin">
          <x:color theme="4" tint="0.39998"/>
        </x:top>
        <x:bottom style="thin">
          <x:color theme="4" tint="0.39998"/>
        </x:bottom>
      </x:border>
    </x:dxf>
    <x:dxf>
      <x:font>
        <x:b/>
        <x:color theme="1"/>
      </x:font>
      <x:fill>
        <x:patternFill>
          <x:bgColor theme="4" tint="0.79998"/>
        </x:patternFill>
      </x:fill>
      <x:border>
        <x:bottom style="thin">
          <x:color theme="4" tint="0.39998"/>
        </x:bottom>
      </x:border>
    </x:dxf>
  </x:dxfs>
</x:styleSheet>
</file>

<file path=xl/_rels/workbook.xml.rels>&#65279;<?xml version="1.0" encoding="utf-8"?><Relationships xmlns="http://schemas.openxmlformats.org/package/2006/relationships"><Relationship Type="http://schemas.openxmlformats.org/officeDocument/2006/relationships/styles" Target="/xl/styles.xml" Id="Rd64b430a0bb34384" /><Relationship Type="http://schemas.openxmlformats.org/officeDocument/2006/relationships/theme" Target="/xl/theme/theme1.xml" Id="R07c0146ab6da48d2" /><Relationship Type="http://schemas.openxmlformats.org/officeDocument/2006/relationships/sharedStrings" Target="/xl/sharedStrings.xml" Id="R543c572482a446d4" /><Relationship Type="http://schemas.openxmlformats.org/officeDocument/2006/relationships/worksheet" Target="/xl/worksheets/sheet1.xml" Id="R8a87d0a62860425a" /><Relationship Type="http://schemas.openxmlformats.org/officeDocument/2006/relationships/worksheet" Target="/xl/worksheets/sheet2.xml" Id="R7b72c21fedcf48e3" /><Relationship Type="http://schemas.openxmlformats.org/officeDocument/2006/relationships/worksheet" Target="/xl/worksheets/sheet3.xml" Id="Ra8a3c20b890b4726" /><Relationship Type="http://schemas.openxmlformats.org/officeDocument/2006/relationships/worksheet" Target="/xl/worksheets/sheet4.xml" Id="R1cb519bf5e154000" /><Relationship Type="http://schemas.openxmlformats.org/officeDocument/2006/relationships/worksheet" Target="/xl/worksheets/sheet5.xml" Id="R3563b321016f4de7"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ColWidth="9" defaultRowHeight="15"/>
  <x:cols>
    <x:col min="1" max="1" width="22" customWidth="1"/>
    <x:col min="2" max="2" width="72" customWidth="1"/>
  </x:cols>
  <x:sheetData>
    <x:row r="1" ht="30" customHeight="1">
      <x:c r="A1" s="1" t="s">
        <x:v>0</x:v>
      </x:c>
      <x:c r="B1" s="1" t="s">
        <x:v>0</x:v>
      </x:c>
      <x:c r="C1" s="1" t="s">
        <x:v>0</x:v>
      </x:c>
      <x:c r="D1" s="1" t="s">
        <x:v>0</x:v>
      </x:c>
      <x:c r="E1" s="1" t="s">
        <x:v>0</x:v>
      </x:c>
      <x:c r="F1" s="1" t="s">
        <x:v>0</x:v>
      </x:c>
      <x:c r="G1" s="1" t="s">
        <x:v>0</x:v>
      </x:c>
      <x:c r="H1" s="1" t="s">
        <x:v>0</x:v>
      </x:c>
    </x:row>
    <x:row r="2">
      <x:c r="A2" s="2"/>
      <x:c r="B2" s="2"/>
      <x:c r="C2" s="2"/>
      <x:c r="D2" s="2"/>
      <x:c r="E2" s="2"/>
      <x:c r="F2" s="2"/>
      <x:c r="G2" s="2"/>
      <x:c r="H2" s="2"/>
    </x:row>
    <x:row r="3" ht="28.5">
      <x:c r="A3" s="5" t="s">
        <x:v>1</x:v>
      </x:c>
      <x:c r="B3" s="4" t="s">
        <x:v>2</x:v>
      </x:c>
      <x:c r="C3" s="2"/>
      <x:c r="D3" s="2"/>
      <x:c r="E3" s="2"/>
      <x:c r="F3" s="2"/>
      <x:c r="G3" s="2"/>
      <x:c r="H3" s="2"/>
    </x:row>
    <x:row r="4">
      <x:c r="A4" s="5" t="str">
        <x:v>Abaqus support</x:v>
      </x:c>
      <x:c r="B4" s="4" t="str">
        <x:v>Abaqus/CAE 2020 with Python 2.7; Abaqus/CAE 2024 with Python 3.10</x:v>
      </x:c>
      <x:c r="C4" s="2"/>
      <x:c r="D4" s="2"/>
      <x:c r="E4" s="2"/>
      <x:c r="F4" s="2"/>
      <x:c r="G4" s="2"/>
      <x:c r="H4" s="2"/>
    </x:row>
    <x:row r="5">
      <x:c r="A5" s="5" t="s">
        <x:v>3</x:v>
      </x:c>
      <x:c r="B5" s="4">
        <x:v>8</x:v>
      </x:c>
      <x:c r="C5" s="2"/>
      <x:c r="D5" s="2"/>
      <x:c r="E5" s="2"/>
      <x:c r="F5" s="2"/>
      <x:c r="G5" s="2"/>
      <x:c r="H5" s="2"/>
    </x:row>
    <x:row r="6">
      <x:c r="A6" s="5" t="s">
        <x:v>4</x:v>
      </x:c>
      <x:c r="B6" s="4" t="n">
        <x:f>COUNTA('Case Settings'!A5:A40)</x:f>
        <x:v>28</x:v>
      </x:c>
      <x:c r="C6" s="2"/>
      <x:c r="D6" s="2"/>
      <x:c r="E6" s="2"/>
      <x:c r="F6" s="2"/>
      <x:c r="G6" s="2"/>
      <x:c r="H6" s="2"/>
    </x:row>
    <x:row r="7">
      <x:c r="A7" s="5" t="s">
        <x:v>5</x:v>
      </x:c>
      <x:c r="B7" s="4" t="n">
        <x:f>COUNTIF('Case Settings'!C5:C40,"3D")</x:f>
        <x:v>13</x:v>
      </x:c>
      <x:c r="C7" s="2"/>
      <x:c r="D7" s="2"/>
      <x:c r="E7" s="2"/>
      <x:c r="F7" s="2"/>
      <x:c r="G7" s="2"/>
      <x:c r="H7" s="2"/>
    </x:row>
    <x:row r="8">
      <x:c r="A8" s="5" t="s">
        <x:v>6</x:v>
      </x:c>
      <x:c r="B8" s="4" t="n">
        <x:f>COUNTIF('Case Settings'!C5:C40,"plate")</x:f>
        <x:v>15</x:v>
      </x:c>
      <x:c r="C8" s="2"/>
      <x:c r="D8" s="2"/>
      <x:c r="E8" s="2"/>
      <x:c r="F8" s="2"/>
      <x:c r="G8" s="2"/>
      <x:c r="H8" s="2"/>
    </x:row>
    <x:row r="9">
      <x:c r="A9" s="2"/>
      <x:c r="B9" s="2"/>
      <x:c r="C9" s="2"/>
      <x:c r="D9" s="2"/>
      <x:c r="E9" s="2"/>
      <x:c r="F9" s="2"/>
      <x:c r="G9" s="2"/>
      <x:c r="H9" s="2"/>
    </x:row>
    <x:row r="10">
      <x:c r="A10" s="12" t="s">
        <x:v>7</x:v>
      </x:c>
      <x:c r="B10" s="12"/>
      <x:c r="C10" s="12"/>
      <x:c r="D10" s="12"/>
      <x:c r="E10" s="12"/>
      <x:c r="F10" s="12"/>
      <x:c r="G10" s="12"/>
      <x:c r="H10" s="12"/>
    </x:row>
    <x:row r="11">
      <x:c r="A11" s="12"/>
      <x:c r="B11" s="12"/>
      <x:c r="C11" s="12"/>
      <x:c r="D11" s="12"/>
      <x:c r="E11" s="12"/>
      <x:c r="F11" s="12"/>
      <x:c r="G11" s="12"/>
      <x:c r="H11" s="12"/>
    </x:row>
    <x:row r="12">
      <x:c r="A12" s="12"/>
      <x:c r="B12" s="12"/>
      <x:c r="C12" s="12"/>
      <x:c r="D12" s="12"/>
      <x:c r="E12" s="12"/>
      <x:c r="F12" s="12"/>
      <x:c r="G12" s="12"/>
      <x:c r="H12" s="12"/>
    </x:row>
  </x:sheetData>
  <x:mergeCells>
    <x:mergeCell ref="A1:H1"/>
    <x:mergeCell ref="A10:H12"/>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ColWidth="9" defaultRowHeight="15"/>
  <x:cols>
    <x:col min="1" max="1" width="8" customWidth="1"/>
    <x:col min="2" max="2" width="15" customWidth="1"/>
    <x:col min="3" max="3" width="72" customWidth="1"/>
    <x:col min="4" max="4" width="45" customWidth="1"/>
  </x:cols>
  <x:sheetData>
    <x:row r="1" ht="30" customHeight="1">
      <x:c r="A1" s="1" t="s">
        <x:v>8</x:v>
      </x:c>
      <x:c r="B1" s="1" t="s">
        <x:v>8</x:v>
      </x:c>
      <x:c r="C1" s="1" t="s">
        <x:v>8</x:v>
      </x:c>
      <x:c r="D1" s="1" t="s">
        <x:v>8</x:v>
      </x:c>
    </x:row>
    <x:row r="2">
      <x:c r="A2" s="2"/>
      <x:c r="B2" s="2"/>
      <x:c r="C2" s="2"/>
      <x:c r="D2" s="2"/>
    </x:row>
    <x:row r="3">
      <x:c r="A3" s="3" t="s">
        <x:v>9</x:v>
      </x:c>
      <x:c r="B3" s="3" t="s">
        <x:v>10</x:v>
      </x:c>
      <x:c r="C3" s="3" t="s">
        <x:v>11</x:v>
      </x:c>
      <x:c r="D3" s="3" t="s">
        <x:v>12</x:v>
      </x:c>
    </x:row>
    <x:row r="4" ht="42" customHeight="1">
      <x:c r="A4" s="7">
        <x:v>1</x:v>
      </x:c>
      <x:c r="B4" s="4" t="s">
        <x:v>13</x:v>
      </x:c>
      <x:c r="C4" s="4" t="str">
        <x:v>Copy the complete 'NIAH Abaqus Plugin' directory into the plug-ins directory of Abaqus/CAE 2020 or 2024 and restart CAE.</x:v>
      </x:c>
      <x:c r="D4" s="4" t="s">
        <x:v>14</x:v>
      </x:c>
    </x:row>
    <x:row r="5" ht="42" customHeight="1">
      <x:c r="A5" s="7">
        <x:v>2</x:v>
      </x:c>
      <x:c r="B5" s="4" t="s">
        <x:v>15</x:v>
      </x:c>
      <x:c r="C5" s="4" t="s">
        <x:v>16</x:v>
      </x:c>
      <x:c r="D5" s="4" t="s">
        <x:v>17</x:v>
      </x:c>
    </x:row>
    <x:row r="6" ht="42" customHeight="1">
      <x:c r="A6" s="7">
        <x:v>3</x:v>
      </x:c>
      <x:c r="B6" s="4" t="s">
        <x:v>18</x:v>
      </x:c>
      <x:c r="C6" s="4" t="s">
        <x:v>19</x:v>
      </x:c>
      <x:c r="D6" s="4" t="s">
        <x:v>20</x:v>
      </x:c>
    </x:row>
    <x:row r="7" ht="42" customHeight="1">
      <x:c r="A7" s="7">
        <x:v>4</x:v>
      </x:c>
      <x:c r="B7" s="4" t="s">
        <x:v>18</x:v>
      </x:c>
      <x:c r="C7" s="4" t="s">
        <x:v>21</x:v>
      </x:c>
      <x:c r="D7" s="4" t="s">
        <x:v>22</x:v>
      </x:c>
    </x:row>
    <x:row r="8" ht="42" customHeight="1">
      <x:c r="A8" s="7">
        <x:v>5</x:v>
      </x:c>
      <x:c r="B8" s="4" t="s">
        <x:v>18</x:v>
      </x:c>
      <x:c r="C8" s="4" t="s">
        <x:v>23</x:v>
      </x:c>
      <x:c r="D8" s="4" t="s">
        <x:v>24</x:v>
      </x:c>
    </x:row>
    <x:row r="9" ht="42" customHeight="1">
      <x:c r="A9" s="7">
        <x:v>6</x:v>
      </x:c>
      <x:c r="B9" s="4" t="s">
        <x:v>18</x:v>
      </x:c>
      <x:c r="C9" s="4" t="str">
        <x:v>Use eight solver CPUs to reproduce the supplied reference runs. For new runs, another even CPU count may be used if it does not exceed the computer's available CPU count. Set the mesh tolerance to 1.0E-3 unless deliberately studying another tolerance.</x:v>
      </x:c>
      <x:c r="D9" s="4" t="str">
        <x:v>The CPU count and GUI values match the intended run configuration.</x:v>
      </x:c>
    </x:row>
    <x:row r="10" ht="42" customHeight="1">
      <x:c r="A10" s="7">
        <x:v>7</x:v>
      </x:c>
      <x:c r="B10" s="4" t="s">
        <x:v>25</x:v>
      </x:c>
      <x:c r="C10" s="4" t="s">
        <x:v>26</x:v>
      </x:c>
      <x:c r="D10" s="4" t="s">
        <x:v>27</x:v>
      </x:c>
    </x:row>
    <x:row r="11" ht="42" customHeight="1">
      <x:c r="A11" s="7">
        <x:v>8</x:v>
      </x:c>
      <x:c r="B11" s="4" t="s">
        <x:v>28</x:v>
      </x:c>
      <x:c r="C11" s="4" t="s">
        <x:v>29</x:v>
      </x:c>
      <x:c r="D11" s="4" t="s">
        <x:v>30</x:v>
      </x:c>
    </x:row>
    <x:row r="12" ht="42" customHeight="1">
      <x:c r="A12" s="7">
        <x:v>9</x:v>
      </x:c>
      <x:c r="B12" s="4" t="s">
        <x:v>31</x:v>
      </x:c>
      <x:c r="C12" s="4" t="s">
        <x:v>32</x:v>
      </x:c>
      <x:c r="D12" s="4" t="s">
        <x:v>33</x:v>
      </x:c>
    </x:row>
    <x:row r="13" ht="42" customHeight="1">
      <x:c r="A13" s="7">
        <x:v>10</x:v>
      </x:c>
      <x:c r="B13" s="4" t="s">
        <x:v>34</x:v>
      </x:c>
      <x:c r="C13" s="4" t="s">
        <x:v>35</x:v>
      </x:c>
      <x:c r="D13" s="4" t="s">
        <x:v>36</x:v>
      </x:c>
    </x:row>
  </x:sheetData>
  <x:mergeCells>
    <x:mergeCell ref="A1:D1"/>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ColWidth="9" defaultRowHeight="15"/>
  <x:cols>
    <x:col min="1" max="1" width="29" customWidth="1"/>
    <x:col min="2" max="2" width="28" customWidth="1"/>
    <x:col min="3" max="3" width="10" customWidth="1"/>
    <x:col min="4" max="4" width="35" customWidth="1"/>
    <x:col min="5" max="5" width="11" customWidth="1"/>
    <x:col min="6" max="6" width="16" customWidth="1"/>
    <x:col min="7" max="7" width="8" customWidth="1"/>
    <x:col min="8" max="8" width="14" customWidth="1"/>
    <x:col min="9" max="9" width="16" customWidth="1"/>
    <x:col min="10" max="10" width="12" customWidth="1"/>
    <x:col min="11" max="11" width="18" customWidth="1"/>
    <x:col min="12" max="12" width="29" customWidth="1"/>
    <x:col min="13" max="13" width="39" customWidth="1"/>
    <x:col min="14" max="14" width="12" customWidth="1"/>
    <x:col min="15" max="16" width="13" customWidth="1"/>
    <x:col min="17" max="17" width="15" customWidth="1"/>
    <x:col min="18" max="18" width="40" customWidth="1"/>
    <x:col min="19" max="19" width="53" customWidth="1"/>
  </x:cols>
  <x:sheetData>
    <x:row r="1" ht="30" customHeight="1">
      <x:c r="A1" s="1" t="s">
        <x:v>37</x:v>
      </x:c>
      <x:c r="B1" s="1" t="s">
        <x:v>37</x:v>
      </x:c>
      <x:c r="C1" s="1" t="s">
        <x:v>37</x:v>
      </x:c>
      <x:c r="D1" s="1" t="s">
        <x:v>37</x:v>
      </x:c>
      <x:c r="E1" s="1" t="s">
        <x:v>37</x:v>
      </x:c>
      <x:c r="F1" s="1" t="s">
        <x:v>37</x:v>
      </x:c>
      <x:c r="G1" s="1" t="s">
        <x:v>37</x:v>
      </x:c>
      <x:c r="H1" s="1" t="s">
        <x:v>37</x:v>
      </x:c>
      <x:c r="I1" s="1" t="s">
        <x:v>37</x:v>
      </x:c>
      <x:c r="J1" s="1" t="s">
        <x:v>37</x:v>
      </x:c>
      <x:c r="K1" s="1" t="s">
        <x:v>37</x:v>
      </x:c>
      <x:c r="L1" s="1" t="s">
        <x:v>37</x:v>
      </x:c>
      <x:c r="M1" s="1" t="s">
        <x:v>37</x:v>
      </x:c>
      <x:c r="N1" s="1" t="s">
        <x:v>37</x:v>
      </x:c>
      <x:c r="O1" s="1" t="s">
        <x:v>37</x:v>
      </x:c>
      <x:c r="P1" s="1" t="s">
        <x:v>37</x:v>
      </x:c>
      <x:c r="Q1" s="1" t="s">
        <x:v>37</x:v>
      </x:c>
      <x:c r="R1" s="1" t="s">
        <x:v>37</x:v>
      </x:c>
      <x:c r="S1" s="1" t="s">
        <x:v>37</x:v>
      </x:c>
    </x:row>
    <x:row r="2" ht="28" customHeight="1">
      <x:c r="A2" s="6" t="s">
        <x:v>38</x:v>
      </x:c>
      <x:c r="B2" s="6"/>
      <x:c r="C2" s="6"/>
      <x:c r="D2" s="6"/>
      <x:c r="E2" s="6"/>
      <x:c r="F2" s="6"/>
      <x:c r="G2" s="6"/>
      <x:c r="H2" s="6"/>
      <x:c r="I2" s="6"/>
      <x:c r="J2" s="6"/>
      <x:c r="K2" s="6"/>
      <x:c r="L2" s="6"/>
      <x:c r="M2" s="6"/>
      <x:c r="N2" s="6"/>
      <x:c r="O2" s="6"/>
      <x:c r="P2" s="6"/>
      <x:c r="Q2" s="6"/>
      <x:c r="R2" s="6"/>
      <x:c r="S2" s="6"/>
    </x:row>
    <x:row r="3">
      <x:c r="A3" s="2"/>
      <x:c r="B3" s="2"/>
      <x:c r="C3" s="2"/>
      <x:c r="D3" s="2"/>
      <x:c r="E3" s="2"/>
      <x:c r="F3" s="2"/>
      <x:c r="G3" s="2"/>
      <x:c r="H3" s="2"/>
      <x:c r="I3" s="2"/>
      <x:c r="J3" s="2"/>
      <x:c r="K3" s="2"/>
      <x:c r="L3" s="2"/>
      <x:c r="M3" s="2"/>
      <x:c r="N3" s="2"/>
      <x:c r="O3" s="2"/>
      <x:c r="P3" s="2"/>
      <x:c r="Q3" s="2"/>
      <x:c r="R3" s="2"/>
      <x:c r="S3" s="2"/>
    </x:row>
    <x:row r="4" ht="36" customHeight="1">
      <x:c r="A4" s="3" t="s">
        <x:v>39</x:v>
      </x:c>
      <x:c r="B4" s="3" t="s">
        <x:v>40</x:v>
      </x:c>
      <x:c r="C4" s="3" t="s">
        <x:v>41</x:v>
      </x:c>
      <x:c r="D4" s="3" t="s">
        <x:v>42</x:v>
      </x:c>
      <x:c r="E4" s="3" t="s">
        <x:v>43</x:v>
      </x:c>
      <x:c r="F4" s="3" t="s">
        <x:v>44</x:v>
      </x:c>
      <x:c r="G4" s="3" t="s">
        <x:v>45</x:v>
      </x:c>
      <x:c r="H4" s="3" t="s">
        <x:v>46</x:v>
      </x:c>
      <x:c r="I4" s="3" t="s">
        <x:v>47</x:v>
      </x:c>
      <x:c r="J4" s="3" t="s">
        <x:v>48</x:v>
      </x:c>
      <x:c r="K4" s="3" t="s">
        <x:v>49</x:v>
      </x:c>
      <x:c r="L4" s="3" t="s">
        <x:v>50</x:v>
      </x:c>
      <x:c r="M4" s="3" t="s">
        <x:v>51</x:v>
      </x:c>
      <x:c r="N4" s="3" t="s">
        <x:v>52</x:v>
      </x:c>
      <x:c r="O4" s="3" t="s">
        <x:v>53</x:v>
      </x:c>
      <x:c r="P4" s="3" t="s">
        <x:v>54</x:v>
      </x:c>
      <x:c r="Q4" s="3" t="s">
        <x:v>55</x:v>
      </x:c>
      <x:c r="R4" s="3" t="s">
        <x:v>56</x:v>
      </x:c>
      <x:c r="S4" s="3" t="s">
        <x:v>57</x:v>
      </x:c>
    </x:row>
    <x:row r="5" ht="30" customHeight="1">
      <x:c r="A5" s="4" t="s">
        <x:v>58</x:v>
      </x:c>
      <x:c r="B5" s="4" t="s">
        <x:v>59</x:v>
      </x:c>
      <x:c r="C5" s="4" t="s">
        <x:v>60</x:v>
      </x:c>
      <x:c r="D5" s="4" t="s">
        <x:v>61</x:v>
      </x:c>
      <x:c r="E5" s="4" t="s">
        <x:v>62</x:v>
      </x:c>
      <x:c r="F5" s="4" t="s">
        <x:v>63</x:v>
      </x:c>
      <x:c r="G5" s="7">
        <x:v>8</x:v>
      </x:c>
      <x:c r="H5" s="8">
        <x:v>0.001</x:v>
      </x:c>
      <x:c r="I5" s="9">
        <x:v>1</x:v>
      </x:c>
      <x:c r="J5" s="9">
        <x:v>0.3</x:v>
      </x:c>
      <x:c r="K5" s="4" t="s">
        <x:v>64</x:v>
      </x:c>
      <x:c r="L5" s="4" t="s">
        <x:v>65</x:v>
      </x:c>
      <x:c r="M5" s="4" t="s">
        <x:v>66</x:v>
      </x:c>
      <x:c r="N5" s="10">
        <x:v>1331</x:v>
      </x:c>
      <x:c r="O5" s="10">
        <x:v>1000</x:v>
      </x:c>
      <x:c r="P5" s="10">
        <x:v>1331</x:v>
      </x:c>
      <x:c r="Q5" s="11">
        <x:v>339.4</x:v>
      </x:c>
      <x:c r="R5" s="4" t="s">
        <x:v>67</x:v>
      </x:c>
      <x:c r="S5" s="4" t="s">
        <x:v>68</x:v>
      </x:c>
    </x:row>
    <x:row r="6" ht="30" customHeight="1">
      <x:c r="A6" s="4" t="s">
        <x:v>69</x:v>
      </x:c>
      <x:c r="B6" s="4" t="s">
        <x:v>59</x:v>
      </x:c>
      <x:c r="C6" s="4" t="s">
        <x:v>60</x:v>
      </x:c>
      <x:c r="D6" s="4" t="s">
        <x:v>70</x:v>
      </x:c>
      <x:c r="E6" s="4" t="s">
        <x:v>62</x:v>
      </x:c>
      <x:c r="F6" s="4" t="s">
        <x:v>63</x:v>
      </x:c>
      <x:c r="G6" s="7">
        <x:v>8</x:v>
      </x:c>
      <x:c r="H6" s="8">
        <x:v>0.001</x:v>
      </x:c>
      <x:c r="I6" s="9">
        <x:v>1</x:v>
      </x:c>
      <x:c r="J6" s="9">
        <x:v>0.3</x:v>
      </x:c>
      <x:c r="K6" s="4" t="s">
        <x:v>64</x:v>
      </x:c>
      <x:c r="L6" s="4" t="s">
        <x:v>65</x:v>
      </x:c>
      <x:c r="M6" s="4" t="s">
        <x:v>66</x:v>
      </x:c>
      <x:c r="N6" s="10">
        <x:v>216</x:v>
      </x:c>
      <x:c r="O6" s="10">
        <x:v>125</x:v>
      </x:c>
      <x:c r="P6" s="10">
        <x:v>216</x:v>
      </x:c>
      <x:c r="Q6" s="11">
        <x:v>337.4</x:v>
      </x:c>
      <x:c r="R6" s="4" t="s">
        <x:v>71</x:v>
      </x:c>
      <x:c r="S6" s="4" t="s">
        <x:v>72</x:v>
      </x:c>
    </x:row>
    <x:row r="7" ht="30" customHeight="1">
      <x:c r="A7" s="4" t="s">
        <x:v>73</x:v>
      </x:c>
      <x:c r="B7" s="4" t="s">
        <x:v>59</x:v>
      </x:c>
      <x:c r="C7" s="4" t="s">
        <x:v>60</x:v>
      </x:c>
      <x:c r="D7" s="4" t="s">
        <x:v>74</x:v>
      </x:c>
      <x:c r="E7" s="4" t="s">
        <x:v>62</x:v>
      </x:c>
      <x:c r="F7" s="4" t="s">
        <x:v>63</x:v>
      </x:c>
      <x:c r="G7" s="7">
        <x:v>8</x:v>
      </x:c>
      <x:c r="H7" s="8">
        <x:v>0.001</x:v>
      </x:c>
      <x:c r="I7" s="9">
        <x:v>1</x:v>
      </x:c>
      <x:c r="J7" s="9">
        <x:v>0.3</x:v>
      </x:c>
      <x:c r="K7" s="4" t="s">
        <x:v>64</x:v>
      </x:c>
      <x:c r="L7" s="4" t="s">
        <x:v>65</x:v>
      </x:c>
      <x:c r="M7" s="4" t="s">
        <x:v>66</x:v>
      </x:c>
      <x:c r="N7" s="10">
        <x:v>343</x:v>
      </x:c>
      <x:c r="O7" s="10">
        <x:v>216</x:v>
      </x:c>
      <x:c r="P7" s="10">
        <x:v>343</x:v>
      </x:c>
      <x:c r="Q7" s="11">
        <x:v>338.3</x:v>
      </x:c>
      <x:c r="R7" s="4" t="s">
        <x:v>75</x:v>
      </x:c>
      <x:c r="S7" s="4" t="s">
        <x:v>76</x:v>
      </x:c>
    </x:row>
    <x:row r="8" ht="30" customHeight="1">
      <x:c r="A8" s="4" t="s">
        <x:v>77</x:v>
      </x:c>
      <x:c r="B8" s="4" t="s">
        <x:v>59</x:v>
      </x:c>
      <x:c r="C8" s="4" t="s">
        <x:v>60</x:v>
      </x:c>
      <x:c r="D8" s="4" t="s">
        <x:v>78</x:v>
      </x:c>
      <x:c r="E8" s="4" t="s">
        <x:v>62</x:v>
      </x:c>
      <x:c r="F8" s="4" t="s">
        <x:v>63</x:v>
      </x:c>
      <x:c r="G8" s="7">
        <x:v>8</x:v>
      </x:c>
      <x:c r="H8" s="8">
        <x:v>0.001</x:v>
      </x:c>
      <x:c r="I8" s="9">
        <x:v>1</x:v>
      </x:c>
      <x:c r="J8" s="9">
        <x:v>0.3</x:v>
      </x:c>
      <x:c r="K8" s="4" t="s">
        <x:v>64</x:v>
      </x:c>
      <x:c r="L8" s="4" t="s">
        <x:v>65</x:v>
      </x:c>
      <x:c r="M8" s="4" t="s">
        <x:v>66</x:v>
      </x:c>
      <x:c r="N8" s="10">
        <x:v>64</x:v>
      </x:c>
      <x:c r="O8" s="10">
        <x:v>27</x:v>
      </x:c>
      <x:c r="P8" s="10">
        <x:v>64</x:v>
      </x:c>
      <x:c r="Q8" s="11">
        <x:v>338.6</x:v>
      </x:c>
      <x:c r="R8" s="4" t="s">
        <x:v>79</x:v>
      </x:c>
      <x:c r="S8" s="4" t="s">
        <x:v>80</x:v>
      </x:c>
    </x:row>
    <x:row r="9" ht="30" customHeight="1">
      <x:c r="A9" s="4" t="s">
        <x:v>81</x:v>
      </x:c>
      <x:c r="B9" s="4" t="s">
        <x:v>59</x:v>
      </x:c>
      <x:c r="C9" s="4" t="s">
        <x:v>60</x:v>
      </x:c>
      <x:c r="D9" s="4" t="s">
        <x:v>82</x:v>
      </x:c>
      <x:c r="E9" s="4" t="s">
        <x:v>62</x:v>
      </x:c>
      <x:c r="F9" s="4" t="s">
        <x:v>63</x:v>
      </x:c>
      <x:c r="G9" s="7">
        <x:v>8</x:v>
      </x:c>
      <x:c r="H9" s="8">
        <x:v>0.001</x:v>
      </x:c>
      <x:c r="I9" s="9">
        <x:v>1</x:v>
      </x:c>
      <x:c r="J9" s="9">
        <x:v>0.3</x:v>
      </x:c>
      <x:c r="K9" s="4" t="s">
        <x:v>64</x:v>
      </x:c>
      <x:c r="L9" s="4" t="s">
        <x:v>65</x:v>
      </x:c>
      <x:c r="M9" s="4" t="s">
        <x:v>66</x:v>
      </x:c>
      <x:c r="N9" s="10">
        <x:v>512</x:v>
      </x:c>
      <x:c r="O9" s="10">
        <x:v>343</x:v>
      </x:c>
      <x:c r="P9" s="10">
        <x:v>512</x:v>
      </x:c>
      <x:c r="Q9" s="11">
        <x:v>338.7</x:v>
      </x:c>
      <x:c r="R9" s="4" t="s">
        <x:v>83</x:v>
      </x:c>
      <x:c r="S9" s="4" t="s">
        <x:v>84</x:v>
      </x:c>
    </x:row>
    <x:row r="10" ht="30" customHeight="1">
      <x:c r="A10" s="4" t="s">
        <x:v>85</x:v>
      </x:c>
      <x:c r="B10" s="4" t="s">
        <x:v>59</x:v>
      </x:c>
      <x:c r="C10" s="4" t="s">
        <x:v>60</x:v>
      </x:c>
      <x:c r="D10" s="4" t="s">
        <x:v>86</x:v>
      </x:c>
      <x:c r="E10" s="4" t="s">
        <x:v>62</x:v>
      </x:c>
      <x:c r="F10" s="4" t="s">
        <x:v>63</x:v>
      </x:c>
      <x:c r="G10" s="7">
        <x:v>8</x:v>
      </x:c>
      <x:c r="H10" s="8">
        <x:v>0.001</x:v>
      </x:c>
      <x:c r="I10" s="9">
        <x:v>1</x:v>
      </x:c>
      <x:c r="J10" s="9">
        <x:v>0.3</x:v>
      </x:c>
      <x:c r="K10" s="4" t="s">
        <x:v>64</x:v>
      </x:c>
      <x:c r="L10" s="4" t="s">
        <x:v>65</x:v>
      </x:c>
      <x:c r="M10" s="4" t="s">
        <x:v>66</x:v>
      </x:c>
      <x:c r="N10" s="10">
        <x:v>729</x:v>
      </x:c>
      <x:c r="O10" s="10">
        <x:v>512</x:v>
      </x:c>
      <x:c r="P10" s="10">
        <x:v>729</x:v>
      </x:c>
      <x:c r="Q10" s="11">
        <x:v>337.9</x:v>
      </x:c>
      <x:c r="R10" s="4" t="s">
        <x:v>87</x:v>
      </x:c>
      <x:c r="S10" s="4" t="s">
        <x:v>88</x:v>
      </x:c>
    </x:row>
    <x:row r="11" ht="30" customHeight="1">
      <x:c r="A11" s="4" t="s">
        <x:v>89</x:v>
      </x:c>
      <x:c r="B11" s="4" t="s">
        <x:v>59</x:v>
      </x:c>
      <x:c r="C11" s="4" t="s">
        <x:v>60</x:v>
      </x:c>
      <x:c r="D11" s="4" t="s">
        <x:v>90</x:v>
      </x:c>
      <x:c r="E11" s="4" t="s">
        <x:v>62</x:v>
      </x:c>
      <x:c r="F11" s="4" t="s">
        <x:v>63</x:v>
      </x:c>
      <x:c r="G11" s="7">
        <x:v>8</x:v>
      </x:c>
      <x:c r="H11" s="8">
        <x:v>0.001</x:v>
      </x:c>
      <x:c r="I11" s="9">
        <x:v>1</x:v>
      </x:c>
      <x:c r="J11" s="9">
        <x:v>0.3</x:v>
      </x:c>
      <x:c r="K11" s="4" t="s">
        <x:v>64</x:v>
      </x:c>
      <x:c r="L11" s="4" t="s">
        <x:v>65</x:v>
      </x:c>
      <x:c r="M11" s="4" t="s">
        <x:v>66</x:v>
      </x:c>
      <x:c r="N11" s="10">
        <x:v>125</x:v>
      </x:c>
      <x:c r="O11" s="10">
        <x:v>64</x:v>
      </x:c>
      <x:c r="P11" s="10">
        <x:v>125</x:v>
      </x:c>
      <x:c r="Q11" s="11">
        <x:v>341.6</x:v>
      </x:c>
      <x:c r="R11" s="4" t="s">
        <x:v>91</x:v>
      </x:c>
      <x:c r="S11" s="4" t="s">
        <x:v>92</x:v>
      </x:c>
    </x:row>
    <x:row r="12" ht="30" customHeight="1">
      <x:c r="A12" s="4" t="s">
        <x:v>93</x:v>
      </x:c>
      <x:c r="B12" s="4" t="s">
        <x:v>59</x:v>
      </x:c>
      <x:c r="C12" s="4" t="s">
        <x:v>60</x:v>
      </x:c>
      <x:c r="D12" s="4" t="s">
        <x:v>94</x:v>
      </x:c>
      <x:c r="E12" s="4" t="s">
        <x:v>62</x:v>
      </x:c>
      <x:c r="F12" s="4" t="s">
        <x:v>63</x:v>
      </x:c>
      <x:c r="G12" s="7">
        <x:v>8</x:v>
      </x:c>
      <x:c r="H12" s="8">
        <x:v>0.001</x:v>
      </x:c>
      <x:c r="I12" s="9">
        <x:v>1</x:v>
      </x:c>
      <x:c r="J12" s="9">
        <x:v>0.3</x:v>
      </x:c>
      <x:c r="K12" s="4" t="s">
        <x:v>64</x:v>
      </x:c>
      <x:c r="L12" s="4" t="s">
        <x:v>65</x:v>
      </x:c>
      <x:c r="M12" s="4" t="s">
        <x:v>66</x:v>
      </x:c>
      <x:c r="N12" s="10">
        <x:v>1000</x:v>
      </x:c>
      <x:c r="O12" s="10">
        <x:v>729</x:v>
      </x:c>
      <x:c r="P12" s="10">
        <x:v>1000</x:v>
      </x:c>
      <x:c r="Q12" s="11">
        <x:v>339.7</x:v>
      </x:c>
      <x:c r="R12" s="4" t="s">
        <x:v>95</x:v>
      </x:c>
      <x:c r="S12" s="4" t="s">
        <x:v>96</x:v>
      </x:c>
    </x:row>
    <x:row r="13" ht="30" customHeight="1">
      <x:c r="A13" s="4" t="s">
        <x:v>97</x:v>
      </x:c>
      <x:c r="B13" s="4" t="s">
        <x:v>59</x:v>
      </x:c>
      <x:c r="C13" s="4" t="s">
        <x:v>60</x:v>
      </x:c>
      <x:c r="D13" s="4" t="s">
        <x:v>98</x:v>
      </x:c>
      <x:c r="E13" s="4" t="s">
        <x:v>62</x:v>
      </x:c>
      <x:c r="F13" s="4" t="s">
        <x:v>63</x:v>
      </x:c>
      <x:c r="G13" s="7">
        <x:v>8</x:v>
      </x:c>
      <x:c r="H13" s="8">
        <x:v>0.001</x:v>
      </x:c>
      <x:c r="I13" s="9">
        <x:v>1</x:v>
      </x:c>
      <x:c r="J13" s="9">
        <x:v>0.3</x:v>
      </x:c>
      <x:c r="K13" s="4" t="s">
        <x:v>64</x:v>
      </x:c>
      <x:c r="L13" s="4" t="s">
        <x:v>65</x:v>
      </x:c>
      <x:c r="M13" s="4" t="s">
        <x:v>66</x:v>
      </x:c>
      <x:c r="N13" s="10">
        <x:v>27</x:v>
      </x:c>
      <x:c r="O13" s="10">
        <x:v>8</x:v>
      </x:c>
      <x:c r="P13" s="10">
        <x:v>27</x:v>
      </x:c>
      <x:c r="Q13" s="11">
        <x:v>345.9</x:v>
      </x:c>
      <x:c r="R13" s="4" t="s">
        <x:v>99</x:v>
      </x:c>
      <x:c r="S13" s="4" t="s">
        <x:v>100</x:v>
      </x:c>
    </x:row>
    <x:row r="14" ht="30" customHeight="1">
      <x:c r="A14" s="4" t="s">
        <x:v>101</x:v>
      </x:c>
      <x:c r="B14" s="4" t="s">
        <x:v>102</x:v>
      </x:c>
      <x:c r="C14" s="4" t="s">
        <x:v>60</x:v>
      </x:c>
      <x:c r="D14" s="4" t="s">
        <x:v>103</x:v>
      </x:c>
      <x:c r="E14" s="4" t="s">
        <x:v>104</x:v>
      </x:c>
      <x:c r="F14" s="4" t="s">
        <x:v>105</x:v>
      </x:c>
      <x:c r="G14" s="7">
        <x:v>8</x:v>
      </x:c>
      <x:c r="H14" s="8">
        <x:v>0.001</x:v>
      </x:c>
      <x:c r="I14" s="9">
        <x:v>1</x:v>
      </x:c>
      <x:c r="J14" s="9">
        <x:v>0.3</x:v>
      </x:c>
      <x:c r="K14" s="4" t="s">
        <x:v>64</x:v>
      </x:c>
      <x:c r="L14" s="4" t="s">
        <x:v>106</x:v>
      </x:c>
      <x:c r="M14" s="4" t="s">
        <x:v>66</x:v>
      </x:c>
      <x:c r="N14" s="10">
        <x:v>181</x:v>
      </x:c>
      <x:c r="O14" s="10">
        <x:v>192</x:v>
      </x:c>
      <x:c r="P14" s="10">
        <x:v>181</x:v>
      </x:c>
      <x:c r="Q14" s="11">
        <x:v>334.4</x:v>
      </x:c>
      <x:c r="R14" s="4" t="s">
        <x:v>107</x:v>
      </x:c>
      <x:c r="S14" s="4" t="s">
        <x:v>108</x:v>
      </x:c>
    </x:row>
    <x:row r="15" ht="30" customHeight="1">
      <x:c r="A15" s="4" t="s">
        <x:v>109</x:v>
      </x:c>
      <x:c r="B15" s="4" t="s">
        <x:v>102</x:v>
      </x:c>
      <x:c r="C15" s="4" t="s">
        <x:v>60</x:v>
      </x:c>
      <x:c r="D15" s="4" t="s">
        <x:v>110</x:v>
      </x:c>
      <x:c r="E15" s="4" t="s">
        <x:v>62</x:v>
      </x:c>
      <x:c r="F15" s="4" t="s">
        <x:v>111</x:v>
      </x:c>
      <x:c r="G15" s="7">
        <x:v>8</x:v>
      </x:c>
      <x:c r="H15" s="8">
        <x:v>0.001</x:v>
      </x:c>
      <x:c r="I15" s="9">
        <x:v>1</x:v>
      </x:c>
      <x:c r="J15" s="9">
        <x:v>0.3</x:v>
      </x:c>
      <x:c r="K15" s="4" t="s">
        <x:v>64</x:v>
      </x:c>
      <x:c r="L15" s="4" t="s">
        <x:v>65</x:v>
      </x:c>
      <x:c r="M15" s="4" t="s">
        <x:v>66</x:v>
      </x:c>
      <x:c r="N15" s="10">
        <x:v>22971</x:v>
      </x:c>
      <x:c r="O15" s="10">
        <x:v>104112</x:v>
      </x:c>
      <x:c r="P15" s="10">
        <x:v>22971</x:v>
      </x:c>
      <x:c r="Q15" s="11">
        <x:v>571</x:v>
      </x:c>
      <x:c r="R15" s="4" t="s">
        <x:v>112</x:v>
      </x:c>
      <x:c r="S15" s="4" t="s">
        <x:v>113</x:v>
      </x:c>
    </x:row>
    <x:row r="16" ht="30" customHeight="1">
      <x:c r="A16" s="4" t="s">
        <x:v>114</x:v>
      </x:c>
      <x:c r="B16" s="4" t="s">
        <x:v>115</x:v>
      </x:c>
      <x:c r="C16" s="4" t="s">
        <x:v>116</x:v>
      </x:c>
      <x:c r="D16" s="4" t="s">
        <x:v>117</x:v>
      </x:c>
      <x:c r="E16" s="4" t="s">
        <x:v>104</x:v>
      </x:c>
      <x:c r="F16" s="4" t="s">
        <x:v>118</x:v>
      </x:c>
      <x:c r="G16" s="7">
        <x:v>8</x:v>
      </x:c>
      <x:c r="H16" s="8">
        <x:v>0.001</x:v>
      </x:c>
      <x:c r="I16" s="9">
        <x:v>1</x:v>
      </x:c>
      <x:c r="J16" s="9">
        <x:v>0.3</x:v>
      </x:c>
      <x:c r="K16" s="4">
        <x:v>3</x:v>
      </x:c>
      <x:c r="L16" s="4" t="s">
        <x:v>106</x:v>
      </x:c>
      <x:c r="M16" s="4" t="s">
        <x:v>66</x:v>
      </x:c>
      <x:c r="N16" s="10">
        <x:v>1540</x:v>
      </x:c>
      <x:c r="O16" s="10">
        <x:v>1400</x:v>
      </x:c>
      <x:c r="P16" s="10">
        <x:v>1540</x:v>
      </x:c>
      <x:c r="Q16" s="11">
        <x:v>665.1</x:v>
      </x:c>
      <x:c r="R16" s="4" t="s">
        <x:v>119</x:v>
      </x:c>
      <x:c r="S16" s="4" t="s">
        <x:v>120</x:v>
      </x:c>
    </x:row>
    <x:row r="17" ht="30" customHeight="1">
      <x:c r="A17" s="4" t="s">
        <x:v>121</x:v>
      </x:c>
      <x:c r="B17" s="4" t="s">
        <x:v>115</x:v>
      </x:c>
      <x:c r="C17" s="4" t="s">
        <x:v>116</x:v>
      </x:c>
      <x:c r="D17" s="4" t="s">
        <x:v>122</x:v>
      </x:c>
      <x:c r="E17" s="4" t="s">
        <x:v>104</x:v>
      </x:c>
      <x:c r="F17" s="4" t="s">
        <x:v>123</x:v>
      </x:c>
      <x:c r="G17" s="7">
        <x:v>8</x:v>
      </x:c>
      <x:c r="H17" s="8">
        <x:v>0.001</x:v>
      </x:c>
      <x:c r="I17" s="9">
        <x:v>1</x:v>
      </x:c>
      <x:c r="J17" s="9">
        <x:v>0.3</x:v>
      </x:c>
      <x:c r="K17" s="4">
        <x:v>3</x:v>
      </x:c>
      <x:c r="L17" s="4" t="s">
        <x:v>106</x:v>
      </x:c>
      <x:c r="M17" s="4" t="s">
        <x:v>66</x:v>
      </x:c>
      <x:c r="N17" s="10">
        <x:v>1540</x:v>
      </x:c>
      <x:c r="O17" s="10">
        <x:v>1400</x:v>
      </x:c>
      <x:c r="P17" s="10">
        <x:v>1540</x:v>
      </x:c>
      <x:c r="Q17" s="11">
        <x:v>559.3</x:v>
      </x:c>
      <x:c r="R17" s="4" t="s">
        <x:v>124</x:v>
      </x:c>
      <x:c r="S17" s="4" t="s">
        <x:v>125</x:v>
      </x:c>
    </x:row>
    <x:row r="18" ht="30" customHeight="1">
      <x:c r="A18" s="4" t="s">
        <x:v>126</x:v>
      </x:c>
      <x:c r="B18" s="4" t="s">
        <x:v>115</x:v>
      </x:c>
      <x:c r="C18" s="4" t="s">
        <x:v>116</x:v>
      </x:c>
      <x:c r="D18" s="4" t="s">
        <x:v>127</x:v>
      </x:c>
      <x:c r="E18" s="4" t="s">
        <x:v>62</x:v>
      </x:c>
      <x:c r="F18" s="4" t="s">
        <x:v>63</x:v>
      </x:c>
      <x:c r="G18" s="7">
        <x:v>8</x:v>
      </x:c>
      <x:c r="H18" s="8">
        <x:v>0.001</x:v>
      </x:c>
      <x:c r="I18" s="9">
        <x:v>1</x:v>
      </x:c>
      <x:c r="J18" s="9">
        <x:v>0.3</x:v>
      </x:c>
      <x:c r="K18" s="4">
        <x:v>3</x:v>
      </x:c>
      <x:c r="L18" s="4" t="s">
        <x:v>65</x:v>
      </x:c>
      <x:c r="M18" s="4" t="s">
        <x:v>66</x:v>
      </x:c>
      <x:c r="N18" s="10">
        <x:v>375093</x:v>
      </x:c>
      <x:c r="O18" s="10">
        <x:v>301560</x:v>
      </x:c>
      <x:c r="P18" s="10">
        <x:v>375093</x:v>
      </x:c>
      <x:c r="Q18" s="11">
        <x:v>4096.9</x:v>
      </x:c>
      <x:c r="R18" s="4" t="s">
        <x:v>128</x:v>
      </x:c>
      <x:c r="S18" s="4" t="s">
        <x:v>129</x:v>
      </x:c>
    </x:row>
    <x:row r="19" ht="30" customHeight="1">
      <x:c r="A19" s="4" t="s">
        <x:v>130</x:v>
      </x:c>
      <x:c r="B19" s="4" t="s">
        <x:v>131</x:v>
      </x:c>
      <x:c r="C19" s="4" t="s">
        <x:v>60</x:v>
      </x:c>
      <x:c r="D19" s="4" t="s">
        <x:v>132</x:v>
      </x:c>
      <x:c r="E19" s="4" t="s">
        <x:v>104</x:v>
      </x:c>
      <x:c r="F19" s="4" t="s">
        <x:v>133</x:v>
      </x:c>
      <x:c r="G19" s="7">
        <x:v>8</x:v>
      </x:c>
      <x:c r="H19" s="8">
        <x:v>0.001</x:v>
      </x:c>
      <x:c r="I19" s="9">
        <x:v>1</x:v>
      </x:c>
      <x:c r="J19" s="9">
        <x:v>0.3</x:v>
      </x:c>
      <x:c r="K19" s="4" t="s">
        <x:v>64</x:v>
      </x:c>
      <x:c r="L19" s="4" t="s">
        <x:v>106</x:v>
      </x:c>
      <x:c r="M19" s="4" t="s">
        <x:v>66</x:v>
      </x:c>
      <x:c r="N19" s="10">
        <x:v>372</x:v>
      </x:c>
      <x:c r="O19" s="10">
        <x:v>497</x:v>
      </x:c>
      <x:c r="P19" s="10">
        <x:v>371</x:v>
      </x:c>
      <x:c r="Q19" s="11">
        <x:v>544.8</x:v>
      </x:c>
      <x:c r="R19" s="4" t="s">
        <x:v>134</x:v>
      </x:c>
      <x:c r="S19" s="4" t="s">
        <x:v>135</x:v>
      </x:c>
    </x:row>
    <x:row r="20" ht="30" customHeight="1">
      <x:c r="A20" s="4" t="s">
        <x:v>130</x:v>
      </x:c>
      <x:c r="B20" s="4" t="s">
        <x:v>131</x:v>
      </x:c>
      <x:c r="C20" s="4" t="s">
        <x:v>116</x:v>
      </x:c>
      <x:c r="D20" s="4" t="s">
        <x:v>132</x:v>
      </x:c>
      <x:c r="E20" s="4" t="s">
        <x:v>104</x:v>
      </x:c>
      <x:c r="F20" s="4" t="s">
        <x:v>133</x:v>
      </x:c>
      <x:c r="G20" s="7">
        <x:v>8</x:v>
      </x:c>
      <x:c r="H20" s="8">
        <x:v>0.001</x:v>
      </x:c>
      <x:c r="I20" s="9">
        <x:v>1</x:v>
      </x:c>
      <x:c r="J20" s="9">
        <x:v>0.3</x:v>
      </x:c>
      <x:c r="K20" s="4">
        <x:v>3</x:v>
      </x:c>
      <x:c r="L20" s="4" t="s">
        <x:v>106</x:v>
      </x:c>
      <x:c r="M20" s="4" t="s">
        <x:v>66</x:v>
      </x:c>
      <x:c r="N20" s="10">
        <x:v>372</x:v>
      </x:c>
      <x:c r="O20" s="10">
        <x:v>497</x:v>
      </x:c>
      <x:c r="P20" s="10">
        <x:v>371</x:v>
      </x:c>
      <x:c r="Q20" s="11">
        <x:v>544.8</x:v>
      </x:c>
      <x:c r="R20" s="4" t="s">
        <x:v>136</x:v>
      </x:c>
      <x:c r="S20" s="4" t="s">
        <x:v>135</x:v>
      </x:c>
    </x:row>
    <x:row r="21" ht="30" customHeight="1">
      <x:c r="A21" s="4" t="s">
        <x:v>137</x:v>
      </x:c>
      <x:c r="B21" s="4" t="s">
        <x:v>102</x:v>
      </x:c>
      <x:c r="C21" s="4" t="s">
        <x:v>60</x:v>
      </x:c>
      <x:c r="D21" s="4" t="s">
        <x:v>138</x:v>
      </x:c>
      <x:c r="E21" s="4" t="s">
        <x:v>104</x:v>
      </x:c>
      <x:c r="F21" s="4" t="s">
        <x:v>105</x:v>
      </x:c>
      <x:c r="G21" s="7">
        <x:v>8</x:v>
      </x:c>
      <x:c r="H21" s="8">
        <x:v>0.001</x:v>
      </x:c>
      <x:c r="I21" s="9">
        <x:v>1</x:v>
      </x:c>
      <x:c r="J21" s="9">
        <x:v>0.3</x:v>
      </x:c>
      <x:c r="K21" s="4" t="s">
        <x:v>64</x:v>
      </x:c>
      <x:c r="L21" s="4" t="s">
        <x:v>106</x:v>
      </x:c>
      <x:c r="M21" s="4" t="s">
        <x:v>66</x:v>
      </x:c>
      <x:c r="N21" s="10">
        <x:v>338</x:v>
      </x:c>
      <x:c r="O21" s="10">
        <x:v>360</x:v>
      </x:c>
      <x:c r="P21" s="10">
        <x:v>338</x:v>
      </x:c>
      <x:c r="Q21" s="11">
        <x:v>338.7</x:v>
      </x:c>
      <x:c r="R21" s="4" t="s">
        <x:v>139</x:v>
      </x:c>
      <x:c r="S21" s="4" t="s">
        <x:v>140</x:v>
      </x:c>
    </x:row>
    <x:row r="22" ht="30" customHeight="1">
      <x:c r="A22" s="4" t="s">
        <x:v>141</x:v>
      </x:c>
      <x:c r="B22" s="4" t="s">
        <x:v>142</x:v>
      </x:c>
      <x:c r="C22" s="4" t="s">
        <x:v>116</x:v>
      </x:c>
      <x:c r="D22" s="4" t="s">
        <x:v>143</x:v>
      </x:c>
      <x:c r="E22" s="4" t="s">
        <x:v>62</x:v>
      </x:c>
      <x:c r="F22" s="4" t="s">
        <x:v>63</x:v>
      </x:c>
      <x:c r="G22" s="7">
        <x:v>8</x:v>
      </x:c>
      <x:c r="H22" s="8">
        <x:v>0.001</x:v>
      </x:c>
      <x:c r="I22" s="9">
        <x:v>1</x:v>
      </x:c>
      <x:c r="J22" s="9">
        <x:v>0.3</x:v>
      </x:c>
      <x:c r="K22" s="4">
        <x:v>3</x:v>
      </x:c>
      <x:c r="L22" s="4" t="s">
        <x:v>65</x:v>
      </x:c>
      <x:c r="M22" s="4" t="s">
        <x:v>66</x:v>
      </x:c>
      <x:c r="N22" s="10">
        <x:v>1440</x:v>
      </x:c>
      <x:c r="O22" s="10">
        <x:v>1050</x:v>
      </x:c>
      <x:c r="P22" s="10">
        <x:v>1440</x:v>
      </x:c>
      <x:c r="Q22" s="11">
        <x:v>549</x:v>
      </x:c>
      <x:c r="R22" s="4" t="s">
        <x:v>144</x:v>
      </x:c>
      <x:c r="S22" s="4" t="s">
        <x:v>145</x:v>
      </x:c>
    </x:row>
    <x:row r="23" ht="30" customHeight="1">
      <x:c r="A23" s="4" t="s">
        <x:v>146</x:v>
      </x:c>
      <x:c r="B23" s="4" t="s">
        <x:v>142</x:v>
      </x:c>
      <x:c r="C23" s="4" t="s">
        <x:v>116</x:v>
      </x:c>
      <x:c r="D23" s="4" t="s">
        <x:v>147</x:v>
      </x:c>
      <x:c r="E23" s="4" t="s">
        <x:v>62</x:v>
      </x:c>
      <x:c r="F23" s="4" t="s">
        <x:v>63</x:v>
      </x:c>
      <x:c r="G23" s="7">
        <x:v>8</x:v>
      </x:c>
      <x:c r="H23" s="8">
        <x:v>0.001</x:v>
      </x:c>
      <x:c r="I23" s="9">
        <x:v>1</x:v>
      </x:c>
      <x:c r="J23" s="9">
        <x:v>0.3</x:v>
      </x:c>
      <x:c r="K23" s="4">
        <x:v>3</x:v>
      </x:c>
      <x:c r="L23" s="4" t="s">
        <x:v>65</x:v>
      </x:c>
      <x:c r="M23" s="4" t="s">
        <x:v>66</x:v>
      </x:c>
      <x:c r="N23" s="10">
        <x:v>1680</x:v>
      </x:c>
      <x:c r="O23" s="10">
        <x:v>1260</x:v>
      </x:c>
      <x:c r="P23" s="10">
        <x:v>1680</x:v>
      </x:c>
      <x:c r="Q23" s="11">
        <x:v>436.4</x:v>
      </x:c>
      <x:c r="R23" s="4" t="s">
        <x:v>148</x:v>
      </x:c>
      <x:c r="S23" s="4" t="s">
        <x:v>149</x:v>
      </x:c>
    </x:row>
    <x:row r="24" ht="30" customHeight="1">
      <x:c r="A24" s="4" t="s">
        <x:v>150</x:v>
      </x:c>
      <x:c r="B24" s="4" t="s">
        <x:v>142</x:v>
      </x:c>
      <x:c r="C24" s="4" t="s">
        <x:v>116</x:v>
      </x:c>
      <x:c r="D24" s="4" t="s">
        <x:v>151</x:v>
      </x:c>
      <x:c r="E24" s="4" t="s">
        <x:v>62</x:v>
      </x:c>
      <x:c r="F24" s="4" t="s">
        <x:v>63</x:v>
      </x:c>
      <x:c r="G24" s="7">
        <x:v>8</x:v>
      </x:c>
      <x:c r="H24" s="8">
        <x:v>0.001</x:v>
      </x:c>
      <x:c r="I24" s="9">
        <x:v>1</x:v>
      </x:c>
      <x:c r="J24" s="9">
        <x:v>0.3</x:v>
      </x:c>
      <x:c r="K24" s="4">
        <x:v>3</x:v>
      </x:c>
      <x:c r="L24" s="4" t="s">
        <x:v>65</x:v>
      </x:c>
      <x:c r="M24" s="4" t="s">
        <x:v>66</x:v>
      </x:c>
      <x:c r="N24" s="10">
        <x:v>3780</x:v>
      </x:c>
      <x:c r="O24" s="10">
        <x:v>2380</x:v>
      </x:c>
      <x:c r="P24" s="10">
        <x:v>3780</x:v>
      </x:c>
      <x:c r="Q24" s="11">
        <x:v>630.8</x:v>
      </x:c>
      <x:c r="R24" s="4" t="s">
        <x:v>152</x:v>
      </x:c>
      <x:c r="S24" s="4" t="s">
        <x:v>153</x:v>
      </x:c>
    </x:row>
    <x:row r="25" ht="30" customHeight="1">
      <x:c r="A25" s="4" t="s">
        <x:v>154</x:v>
      </x:c>
      <x:c r="B25" s="4" t="s">
        <x:v>142</x:v>
      </x:c>
      <x:c r="C25" s="4" t="s">
        <x:v>116</x:v>
      </x:c>
      <x:c r="D25" s="4" t="s">
        <x:v>155</x:v>
      </x:c>
      <x:c r="E25" s="4" t="s">
        <x:v>62</x:v>
      </x:c>
      <x:c r="F25" s="4" t="s">
        <x:v>63</x:v>
      </x:c>
      <x:c r="G25" s="7">
        <x:v>8</x:v>
      </x:c>
      <x:c r="H25" s="8">
        <x:v>0.001</x:v>
      </x:c>
      <x:c r="I25" s="9">
        <x:v>1</x:v>
      </x:c>
      <x:c r="J25" s="9">
        <x:v>0.3</x:v>
      </x:c>
      <x:c r="K25" s="4">
        <x:v>3</x:v>
      </x:c>
      <x:c r="L25" s="4" t="s">
        <x:v>65</x:v>
      </x:c>
      <x:c r="M25" s="4" t="s">
        <x:v>66</x:v>
      </x:c>
      <x:c r="N25" s="10">
        <x:v>32805</x:v>
      </x:c>
      <x:c r="O25" s="10">
        <x:v>25600</x:v>
      </x:c>
      <x:c r="P25" s="10">
        <x:v>32805</x:v>
      </x:c>
      <x:c r="Q25" s="11">
        <x:v>1197.6</x:v>
      </x:c>
      <x:c r="R25" s="4" t="s">
        <x:v>156</x:v>
      </x:c>
      <x:c r="S25" s="4" t="s">
        <x:v>157</x:v>
      </x:c>
    </x:row>
    <x:row r="26" ht="30" customHeight="1">
      <x:c r="A26" s="4" t="s">
        <x:v>158</x:v>
      </x:c>
      <x:c r="B26" s="4" t="s">
        <x:v>142</x:v>
      </x:c>
      <x:c r="C26" s="4" t="s">
        <x:v>116</x:v>
      </x:c>
      <x:c r="D26" s="4" t="s">
        <x:v>159</x:v>
      </x:c>
      <x:c r="E26" s="4" t="s">
        <x:v>62</x:v>
      </x:c>
      <x:c r="F26" s="4" t="s">
        <x:v>63</x:v>
      </x:c>
      <x:c r="G26" s="7">
        <x:v>8</x:v>
      </x:c>
      <x:c r="H26" s="8">
        <x:v>0.001</x:v>
      </x:c>
      <x:c r="I26" s="9">
        <x:v>1</x:v>
      </x:c>
      <x:c r="J26" s="9">
        <x:v>0.3</x:v>
      </x:c>
      <x:c r="K26" s="4">
        <x:v>3</x:v>
      </x:c>
      <x:c r="L26" s="4" t="s">
        <x:v>65</x:v>
      </x:c>
      <x:c r="M26" s="4" t="s">
        <x:v>66</x:v>
      </x:c>
      <x:c r="N26" s="10">
        <x:v>720</x:v>
      </x:c>
      <x:c r="O26" s="10">
        <x:v>420</x:v>
      </x:c>
      <x:c r="P26" s="10">
        <x:v>720</x:v>
      </x:c>
      <x:c r="Q26" s="11">
        <x:v>545</x:v>
      </x:c>
      <x:c r="R26" s="4" t="s">
        <x:v>160</x:v>
      </x:c>
      <x:c r="S26" s="4" t="s">
        <x:v>161</x:v>
      </x:c>
    </x:row>
    <x:row r="27" ht="30" customHeight="1">
      <x:c r="A27" s="4" t="s">
        <x:v>162</x:v>
      </x:c>
      <x:c r="B27" s="4" t="s">
        <x:v>142</x:v>
      </x:c>
      <x:c r="C27" s="4" t="s">
        <x:v>116</x:v>
      </x:c>
      <x:c r="D27" s="4" t="s">
        <x:v>163</x:v>
      </x:c>
      <x:c r="E27" s="4" t="s">
        <x:v>62</x:v>
      </x:c>
      <x:c r="F27" s="4" t="s">
        <x:v>63</x:v>
      </x:c>
      <x:c r="G27" s="7">
        <x:v>8</x:v>
      </x:c>
      <x:c r="H27" s="8">
        <x:v>0.001</x:v>
      </x:c>
      <x:c r="I27" s="9">
        <x:v>1</x:v>
      </x:c>
      <x:c r="J27" s="9">
        <x:v>0.3</x:v>
      </x:c>
      <x:c r="K27" s="4">
        <x:v>3</x:v>
      </x:c>
      <x:c r="L27" s="4" t="s">
        <x:v>65</x:v>
      </x:c>
      <x:c r="M27" s="4" t="s">
        <x:v>66</x:v>
      </x:c>
      <x:c r="N27" s="10">
        <x:v>6300</x:v>
      </x:c>
      <x:c r="O27" s="10">
        <x:v>4760</x:v>
      </x:c>
      <x:c r="P27" s="10">
        <x:v>6300</x:v>
      </x:c>
      <x:c r="Q27" s="11">
        <x:v>645</x:v>
      </x:c>
      <x:c r="R27" s="4" t="s">
        <x:v>164</x:v>
      </x:c>
      <x:c r="S27" s="4" t="s">
        <x:v>165</x:v>
      </x:c>
    </x:row>
    <x:row r="28" ht="30" customHeight="1">
      <x:c r="A28" s="4" t="s">
        <x:v>166</x:v>
      </x:c>
      <x:c r="B28" s="4" t="s">
        <x:v>142</x:v>
      </x:c>
      <x:c r="C28" s="4" t="s">
        <x:v>116</x:v>
      </x:c>
      <x:c r="D28" s="4" t="s">
        <x:v>167</x:v>
      </x:c>
      <x:c r="E28" s="4" t="s">
        <x:v>62</x:v>
      </x:c>
      <x:c r="F28" s="4" t="s">
        <x:v>63</x:v>
      </x:c>
      <x:c r="G28" s="7">
        <x:v>8</x:v>
      </x:c>
      <x:c r="H28" s="8">
        <x:v>0.001</x:v>
      </x:c>
      <x:c r="I28" s="9">
        <x:v>1</x:v>
      </x:c>
      <x:c r="J28" s="9">
        <x:v>0.3</x:v>
      </x:c>
      <x:c r="K28" s="4">
        <x:v>3</x:v>
      </x:c>
      <x:c r="L28" s="4" t="s">
        <x:v>65</x:v>
      </x:c>
      <x:c r="M28" s="4" t="s">
        <x:v>66</x:v>
      </x:c>
      <x:c r="N28" s="10">
        <x:v>960</x:v>
      </x:c>
      <x:c r="O28" s="10">
        <x:v>630</x:v>
      </x:c>
      <x:c r="P28" s="10">
        <x:v>960</x:v>
      </x:c>
      <x:c r="Q28" s="11">
        <x:v>547.1</x:v>
      </x:c>
      <x:c r="R28" s="4" t="s">
        <x:v>168</x:v>
      </x:c>
      <x:c r="S28" s="4" t="s">
        <x:v>169</x:v>
      </x:c>
    </x:row>
    <x:row r="29" ht="30" customHeight="1">
      <x:c r="A29" s="4" t="s">
        <x:v>170</x:v>
      </x:c>
      <x:c r="B29" s="4" t="s">
        <x:v>142</x:v>
      </x:c>
      <x:c r="C29" s="4" t="s">
        <x:v>116</x:v>
      </x:c>
      <x:c r="D29" s="4" t="s">
        <x:v>171</x:v>
      </x:c>
      <x:c r="E29" s="4" t="s">
        <x:v>62</x:v>
      </x:c>
      <x:c r="F29" s="4" t="s">
        <x:v>63</x:v>
      </x:c>
      <x:c r="G29" s="7">
        <x:v>8</x:v>
      </x:c>
      <x:c r="H29" s="8">
        <x:v>0.001</x:v>
      </x:c>
      <x:c r="I29" s="9">
        <x:v>1</x:v>
      </x:c>
      <x:c r="J29" s="9">
        <x:v>0.3</x:v>
      </x:c>
      <x:c r="K29" s="4">
        <x:v>3</x:v>
      </x:c>
      <x:c r="L29" s="4" t="s">
        <x:v>65</x:v>
      </x:c>
      <x:c r="M29" s="4" t="s">
        <x:v>66</x:v>
      </x:c>
      <x:c r="N29" s="10">
        <x:v>8820</x:v>
      </x:c>
      <x:c r="O29" s="10">
        <x:v>7140</x:v>
      </x:c>
      <x:c r="P29" s="10">
        <x:v>8820</x:v>
      </x:c>
      <x:c r="Q29" s="11">
        <x:v>669.1</x:v>
      </x:c>
      <x:c r="R29" s="4" t="s">
        <x:v>172</x:v>
      </x:c>
      <x:c r="S29" s="4" t="s">
        <x:v>173</x:v>
      </x:c>
    </x:row>
    <x:row r="30" ht="30" customHeight="1">
      <x:c r="A30" s="4" t="s">
        <x:v>174</x:v>
      </x:c>
      <x:c r="B30" s="4" t="s">
        <x:v>142</x:v>
      </x:c>
      <x:c r="C30" s="4" t="s">
        <x:v>116</x:v>
      </x:c>
      <x:c r="D30" s="4" t="s">
        <x:v>175</x:v>
      </x:c>
      <x:c r="E30" s="4" t="s">
        <x:v>62</x:v>
      </x:c>
      <x:c r="F30" s="4" t="s">
        <x:v>63</x:v>
      </x:c>
      <x:c r="G30" s="7">
        <x:v>8</x:v>
      </x:c>
      <x:c r="H30" s="8">
        <x:v>0.001</x:v>
      </x:c>
      <x:c r="I30" s="9">
        <x:v>1</x:v>
      </x:c>
      <x:c r="J30" s="9">
        <x:v>0.3</x:v>
      </x:c>
      <x:c r="K30" s="4">
        <x:v>3</x:v>
      </x:c>
      <x:c r="L30" s="4" t="s">
        <x:v>65</x:v>
      </x:c>
      <x:c r="M30" s="4" t="s">
        <x:v>66</x:v>
      </x:c>
      <x:c r="N30" s="10">
        <x:v>87808</x:v>
      </x:c>
      <x:c r="O30" s="10">
        <x:v>73926</x:v>
      </x:c>
      <x:c r="P30" s="10">
        <x:v>87808</x:v>
      </x:c>
      <x:c r="Q30" s="11">
        <x:v>2162.3</x:v>
      </x:c>
      <x:c r="R30" s="4" t="s">
        <x:v>176</x:v>
      </x:c>
      <x:c r="S30" s="4" t="s">
        <x:v>177</x:v>
      </x:c>
    </x:row>
    <x:row r="31" ht="30" customHeight="1">
      <x:c r="A31" s="4" t="s">
        <x:v>178</x:v>
      </x:c>
      <x:c r="B31" s="4" t="s">
        <x:v>142</x:v>
      </x:c>
      <x:c r="C31" s="4" t="s">
        <x:v>116</x:v>
      </x:c>
      <x:c r="D31" s="4" t="s">
        <x:v>179</x:v>
      </x:c>
      <x:c r="E31" s="4" t="s">
        <x:v>62</x:v>
      </x:c>
      <x:c r="F31" s="4" t="s">
        <x:v>63</x:v>
      </x:c>
      <x:c r="G31" s="7">
        <x:v>8</x:v>
      </x:c>
      <x:c r="H31" s="8">
        <x:v>0.001</x:v>
      </x:c>
      <x:c r="I31" s="9">
        <x:v>1</x:v>
      </x:c>
      <x:c r="J31" s="9">
        <x:v>0.3</x:v>
      </x:c>
      <x:c r="K31" s="4">
        <x:v>3</x:v>
      </x:c>
      <x:c r="L31" s="4" t="s">
        <x:v>65</x:v>
      </x:c>
      <x:c r="M31" s="4" t="s">
        <x:v>66</x:v>
      </x:c>
      <x:c r="N31" s="10">
        <x:v>1200</x:v>
      </x:c>
      <x:c r="O31" s="10">
        <x:v>840</x:v>
      </x:c>
      <x:c r="P31" s="10">
        <x:v>1200</x:v>
      </x:c>
      <x:c r="Q31" s="11">
        <x:v>548.3</x:v>
      </x:c>
      <x:c r="R31" s="4" t="s">
        <x:v>180</x:v>
      </x:c>
      <x:c r="S31" s="4" t="s">
        <x:v>181</x:v>
      </x:c>
    </x:row>
    <x:row r="32" ht="30" customHeight="1">
      <x:c r="A32" s="4" t="s">
        <x:v>182</x:v>
      </x:c>
      <x:c r="B32" s="4" t="s">
        <x:v>183</x:v>
      </x:c>
      <x:c r="C32" s="4" t="s">
        <x:v>116</x:v>
      </x:c>
      <x:c r="D32" s="4" t="s">
        <x:v>184</x:v>
      </x:c>
      <x:c r="E32" s="4" t="s">
        <x:v>62</x:v>
      </x:c>
      <x:c r="F32" s="4" t="s">
        <x:v>185</x:v>
      </x:c>
      <x:c r="G32" s="7">
        <x:v>8</x:v>
      </x:c>
      <x:c r="H32" s="8">
        <x:v>0.001</x:v>
      </x:c>
      <x:c r="I32" s="9">
        <x:v>206000</x:v>
      </x:c>
      <x:c r="J32" s="9">
        <x:v>0.3</x:v>
      </x:c>
      <x:c r="K32" s="4">
        <x:v>3</x:v>
      </x:c>
      <x:c r="L32" s="4" t="s">
        <x:v>65</x:v>
      </x:c>
      <x:c r="M32" s="4" t="s">
        <x:v>66</x:v>
      </x:c>
      <x:c r="N32" s="10">
        <x:v>91392</x:v>
      </x:c>
      <x:c r="O32" s="10">
        <x:v>32640</x:v>
      </x:c>
      <x:c r="P32" s="10">
        <x:v>91392</x:v>
      </x:c>
      <x:c r="Q32" s="11">
        <x:v>1890.3</x:v>
      </x:c>
      <x:c r="R32" s="4" t="s">
        <x:v>186</x:v>
      </x:c>
      <x:c r="S32" s="4" t="s">
        <x:v>187</x:v>
      </x:c>
    </x:row>
    <x:row r="33">
      <x:c r="A33" s="2"/>
      <x:c r="B33" s="2"/>
      <x:c r="C33" s="2"/>
      <x:c r="D33" s="2"/>
      <x:c r="E33" s="2"/>
      <x:c r="F33" s="2"/>
      <x:c r="G33" s="2"/>
      <x:c r="H33" s="2"/>
      <x:c r="I33" s="2"/>
      <x:c r="J33" s="2"/>
      <x:c r="K33" s="2"/>
      <x:c r="L33" s="2"/>
      <x:c r="M33" s="2"/>
      <x:c r="N33" s="2"/>
      <x:c r="O33" s="2"/>
      <x:c r="P33" s="2"/>
      <x:c r="Q33" s="2"/>
      <x:c r="R33" s="2"/>
      <x:c r="S33" s="2"/>
    </x:row>
    <x:row r="34">
      <x:c r="A34" s="2"/>
      <x:c r="B34" s="2"/>
      <x:c r="C34" s="2"/>
      <x:c r="D34" s="2"/>
      <x:c r="E34" s="2"/>
      <x:c r="F34" s="2"/>
      <x:c r="G34" s="2"/>
      <x:c r="H34" s="2"/>
      <x:c r="I34" s="2"/>
      <x:c r="J34" s="2"/>
      <x:c r="K34" s="2"/>
      <x:c r="L34" s="2"/>
      <x:c r="M34" s="2"/>
      <x:c r="N34" s="2"/>
      <x:c r="O34" s="2"/>
      <x:c r="P34" s="2"/>
      <x:c r="Q34" s="2"/>
      <x:c r="R34" s="2"/>
      <x:c r="S34" s="2"/>
    </x:row>
    <x:row r="35">
      <x:c r="A35" s="2"/>
      <x:c r="B35" s="2"/>
      <x:c r="C35" s="2"/>
      <x:c r="D35" s="2"/>
      <x:c r="E35" s="2"/>
      <x:c r="F35" s="2"/>
      <x:c r="G35" s="2"/>
      <x:c r="H35" s="2"/>
      <x:c r="I35" s="2"/>
      <x:c r="J35" s="2"/>
      <x:c r="K35" s="2"/>
      <x:c r="L35" s="2"/>
      <x:c r="M35" s="2"/>
      <x:c r="N35" s="2"/>
      <x:c r="O35" s="2"/>
      <x:c r="P35" s="2"/>
      <x:c r="Q35" s="2"/>
      <x:c r="R35" s="2"/>
      <x:c r="S35" s="2"/>
    </x:row>
    <x:row r="36">
      <x:c r="A36" s="2"/>
      <x:c r="B36" s="2"/>
      <x:c r="C36" s="2"/>
      <x:c r="D36" s="2"/>
      <x:c r="E36" s="2"/>
      <x:c r="F36" s="2"/>
      <x:c r="G36" s="2"/>
      <x:c r="H36" s="2"/>
      <x:c r="I36" s="2"/>
      <x:c r="J36" s="2"/>
      <x:c r="K36" s="2"/>
      <x:c r="L36" s="2"/>
      <x:c r="M36" s="2"/>
      <x:c r="N36" s="2"/>
      <x:c r="O36" s="2"/>
      <x:c r="P36" s="2"/>
      <x:c r="Q36" s="2"/>
      <x:c r="R36" s="2"/>
      <x:c r="S36" s="2"/>
    </x:row>
    <x:row r="37">
      <x:c r="A37" s="2"/>
      <x:c r="B37" s="2"/>
      <x:c r="C37" s="2"/>
      <x:c r="D37" s="2"/>
      <x:c r="E37" s="2"/>
      <x:c r="F37" s="2"/>
      <x:c r="G37" s="2"/>
      <x:c r="H37" s="2"/>
      <x:c r="I37" s="2"/>
      <x:c r="J37" s="2"/>
      <x:c r="K37" s="2"/>
      <x:c r="L37" s="2"/>
      <x:c r="M37" s="2"/>
      <x:c r="N37" s="2"/>
      <x:c r="O37" s="2"/>
      <x:c r="P37" s="2"/>
      <x:c r="Q37" s="2"/>
      <x:c r="R37" s="2"/>
      <x:c r="S37" s="2"/>
    </x:row>
    <x:row r="38">
      <x:c r="A38" s="2"/>
      <x:c r="B38" s="2"/>
      <x:c r="C38" s="2"/>
      <x:c r="D38" s="2"/>
      <x:c r="E38" s="2"/>
      <x:c r="F38" s="2"/>
      <x:c r="G38" s="2"/>
      <x:c r="H38" s="2"/>
      <x:c r="I38" s="2"/>
      <x:c r="J38" s="2"/>
      <x:c r="K38" s="2"/>
      <x:c r="L38" s="2"/>
      <x:c r="M38" s="2"/>
      <x:c r="N38" s="2"/>
      <x:c r="O38" s="2"/>
      <x:c r="P38" s="2"/>
      <x:c r="Q38" s="2"/>
      <x:c r="R38" s="2"/>
      <x:c r="S38" s="2"/>
    </x:row>
    <x:row r="39">
      <x:c r="A39" s="2"/>
      <x:c r="B39" s="2"/>
      <x:c r="C39" s="2"/>
      <x:c r="D39" s="2"/>
      <x:c r="E39" s="2"/>
      <x:c r="F39" s="2"/>
      <x:c r="G39" s="2"/>
      <x:c r="H39" s="2"/>
      <x:c r="I39" s="2"/>
      <x:c r="J39" s="2"/>
      <x:c r="K39" s="2"/>
      <x:c r="L39" s="2"/>
      <x:c r="M39" s="2"/>
      <x:c r="N39" s="2"/>
      <x:c r="O39" s="2"/>
      <x:c r="P39" s="2"/>
      <x:c r="Q39" s="2"/>
      <x:c r="R39" s="2"/>
      <x:c r="S39" s="2"/>
    </x:row>
    <x:row r="40">
      <x:c r="A40" s="2"/>
      <x:c r="B40" s="2"/>
      <x:c r="C40" s="2"/>
      <x:c r="D40" s="2"/>
      <x:c r="E40" s="2"/>
      <x:c r="F40" s="2"/>
      <x:c r="G40" s="2"/>
      <x:c r="H40" s="2"/>
      <x:c r="I40" s="2"/>
      <x:c r="J40" s="2"/>
      <x:c r="K40" s="2"/>
      <x:c r="L40" s="2"/>
      <x:c r="M40" s="2"/>
      <x:c r="N40" s="2"/>
      <x:c r="O40" s="2"/>
      <x:c r="P40" s="2"/>
      <x:c r="Q40" s="2"/>
      <x:c r="R40" s="2"/>
      <x:c r="S40" s="2"/>
    </x:row>
  </x:sheetData>
  <x:mergeCells>
    <x:mergeCell ref="A1:S1"/>
    <x:mergeCell ref="A2:S2"/>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ColWidth="9" defaultRowHeight="15"/>
  <x:cols>
    <x:col min="1" max="1" width="24" customWidth="1"/>
    <x:col min="2" max="2" width="58" customWidth="1"/>
  </x:cols>
  <x:sheetData>
    <x:row r="1" ht="30" customHeight="1">
      <x:c r="A1" s="1" t="s">
        <x:v>188</x:v>
      </x:c>
      <x:c r="B1" s="1" t="s">
        <x:v>188</x:v>
      </x:c>
      <x:c r="C1" s="1" t="s">
        <x:v>188</x:v>
      </x:c>
      <x:c r="D1" s="1" t="s">
        <x:v>188</x:v>
      </x:c>
    </x:row>
    <x:row r="2">
      <x:c r="A2" s="2"/>
      <x:c r="B2" s="2"/>
      <x:c r="C2" s="2"/>
      <x:c r="D2" s="2"/>
    </x:row>
    <x:row r="3">
      <x:c r="A3" s="3" t="s">
        <x:v>189</x:v>
      </x:c>
      <x:c r="B3" s="3" t="s">
        <x:v>190</x:v>
      </x:c>
      <x:c r="C3" s="2"/>
      <x:c r="D3" s="2"/>
    </x:row>
    <x:row r="4">
      <x:c r="A4" s="5" t="s">
        <x:v>191</x:v>
      </x:c>
      <x:c r="B4" s="4" t="s">
        <x:v>192</x:v>
      </x:c>
      <x:c r="C4" s="2"/>
      <x:c r="D4" s="2"/>
    </x:row>
    <x:row r="5">
      <x:c r="A5" s="5" t="s">
        <x:v>193</x:v>
      </x:c>
      <x:c r="B5" s="4" t="s">
        <x:v>194</x:v>
      </x:c>
      <x:c r="C5" s="2"/>
      <x:c r="D5" s="2"/>
    </x:row>
    <x:row r="6">
      <x:c r="A6" s="5" t="s">
        <x:v>195</x:v>
      </x:c>
      <x:c r="B6" s="4" t="s">
        <x:v>196</x:v>
      </x:c>
      <x:c r="C6" s="2"/>
      <x:c r="D6" s="2"/>
    </x:row>
    <x:row r="7">
      <x:c r="A7" s="5" t="s">
        <x:v>197</x:v>
      </x:c>
      <x:c r="B7" s="4" t="s">
        <x:v>198</x:v>
      </x:c>
      <x:c r="C7" s="2"/>
      <x:c r="D7" s="2"/>
    </x:row>
    <x:row r="8">
      <x:c r="A8" s="5" t="s">
        <x:v>199</x:v>
      </x:c>
      <x:c r="B8" s="4" t="s">
        <x:v>200</x:v>
      </x:c>
      <x:c r="C8" s="2"/>
      <x:c r="D8" s="2"/>
    </x:row>
    <x:row r="9">
      <x:c r="A9" s="5" t="s">
        <x:v>201</x:v>
      </x:c>
      <x:c r="B9" s="4">
        <x:v>8</x:v>
      </x:c>
      <x:c r="C9" s="2"/>
      <x:c r="D9" s="2"/>
    </x:row>
    <x:row r="10">
      <x:c r="A10" s="5" t="s">
        <x:v>202</x:v>
      </x:c>
      <x:c r="B10" s="4" t="s">
        <x:v>203</x:v>
      </x:c>
      <x:c r="C10" s="2"/>
      <x:c r="D10" s="2"/>
    </x:row>
    <x:row r="11">
      <x:c r="A11" s="5" t="s">
        <x:v>204</x:v>
      </x:c>
      <x:c r="B11" s="4" t="s">
        <x:v>205</x:v>
      </x:c>
      <x:c r="C11" s="2"/>
      <x:c r="D11" s="2"/>
    </x:row>
  </x:sheetData>
  <x:mergeCells>
    <x:mergeCell ref="A1:D1"/>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ColWidth="9" defaultRowHeight="15"/>
  <x:cols>
    <x:col min="1" max="1" width="34" customWidth="1"/>
    <x:col min="2" max="2" width="50" customWidth="1"/>
    <x:col min="3" max="3" width="18" customWidth="1"/>
    <x:col min="4" max="4" width="40" customWidth="1"/>
  </x:cols>
  <x:sheetData>
    <x:row r="1" ht="30" customHeight="1">
      <x:c r="A1" s="1" t="s">
        <x:v>206</x:v>
      </x:c>
      <x:c r="B1" s="1" t="s">
        <x:v>206</x:v>
      </x:c>
      <x:c r="C1" s="1" t="s">
        <x:v>206</x:v>
      </x:c>
      <x:c r="D1" s="1" t="s">
        <x:v>206</x:v>
      </x:c>
    </x:row>
    <x:row r="2">
      <x:c r="A2" s="2"/>
      <x:c r="B2" s="2"/>
      <x:c r="C2" s="2"/>
      <x:c r="D2" s="2"/>
    </x:row>
    <x:row r="3">
      <x:c r="A3" s="3" t="s">
        <x:v>207</x:v>
      </x:c>
      <x:c r="B3" s="3" t="s">
        <x:v>208</x:v>
      </x:c>
      <x:c r="C3" s="3" t="s">
        <x:v>209</x:v>
      </x:c>
      <x:c r="D3" s="3" t="s">
        <x:v>210</x:v>
      </x:c>
    </x:row>
    <x:row r="4" ht="28.5">
      <x:c r="A4" s="4" t="s">
        <x:v>211</x:v>
      </x:c>
      <x:c r="B4" s="4" t="s">
        <x:v>212</x:v>
      </x:c>
      <x:c r="C4" s="4" t="s">
        <x:v>213</x:v>
      </x:c>
      <x:c r="D4" s="4" t="s">
        <x:v>214</x:v>
      </x:c>
    </x:row>
    <x:row r="5">
      <x:c r="A5" s="4" t="s">
        <x:v>215</x:v>
      </x:c>
      <x:c r="B5" s="4" t="s">
        <x:v>216</x:v>
      </x:c>
      <x:c r="C5" s="4" t="s">
        <x:v>217</x:v>
      </x:c>
      <x:c r="D5" s="4" t="s">
        <x:v>218</x:v>
      </x:c>
    </x:row>
    <x:row r="6">
      <x:c r="A6" s="4" t="s">
        <x:v>219</x:v>
      </x:c>
      <x:c r="B6" s="4" t="s">
        <x:v>220</x:v>
      </x:c>
      <x:c r="C6" s="4" t="s">
        <x:v>221</x:v>
      </x:c>
      <x:c r="D6" s="4" t="s">
        <x:v>222</x:v>
      </x:c>
    </x:row>
    <x:row r="7">
      <x:c r="A7" s="4" t="s">
        <x:v>223</x:v>
      </x:c>
      <x:c r="B7" s="4" t="s">
        <x:v>224</x:v>
      </x:c>
      <x:c r="C7" s="4" t="s">
        <x:v>221</x:v>
      </x:c>
      <x:c r="D7" s="4" t="s">
        <x:v>225</x:v>
      </x:c>
    </x:row>
    <x:row r="8">
      <x:c r="A8" s="4" t="s">
        <x:v>226</x:v>
      </x:c>
      <x:c r="B8" s="4" t="s">
        <x:v>227</x:v>
      </x:c>
      <x:c r="C8" s="4" t="s">
        <x:v>228</x:v>
      </x:c>
      <x:c r="D8" s="4" t="s">
        <x:v>229</x:v>
      </x:c>
    </x:row>
    <x:row r="9">
      <x:c r="A9" s="4" t="s">
        <x:v>230</x:v>
      </x:c>
      <x:c r="B9" s="4" t="str">
        <x:v>Structure-level CSV and XLSX data</x:v>
      </x:c>
      <x:c r="C9" s="4" t="str">
        <x:v>CSV/XLSX</x:v>
      </x:c>
      <x:c r="D9" s="4" t="s">
        <x:v>231</x:v>
      </x:c>
    </x:row>
    <x:row r="10">
      <x:c r="A10" s="4" t="s">
        <x:v>232</x:v>
      </x:c>
      <x:c r="B10" s="4" t="str">
        <x:v>This guide and the execution protocol</x:v>
      </x:c>
      <x:c r="C10" s="4" t="str">
        <x:v>XLSX/MD</x:v>
      </x:c>
      <x:c r="D10" s="4" t="str">
        <x:v>Execution guidance</x:v>
      </x:c>
    </x:row>
    <x:row r="11">
      <x:c r="A11" s="4" t="str">
        <x:v>LICENSE and THIRD_PARTY_NOTICES.md</x:v>
      </x:c>
      <x:c r="B11" s="4" t="str">
        <x:v>License and third-party software notice</x:v>
      </x:c>
      <x:c r="C11" s="4" t="str">
        <x:v>MD</x:v>
      </x:c>
      <x:c r="D11" s="4" t="str">
        <x:v>Licensing information</x:v>
      </x:c>
    </x:row>
  </x:sheetData>
  <x:mergeCells>
    <x:mergeCell ref="A1:D1"/>
  </x:mergeCells>
  <x:pageMargins left="0.7" right="0.7" top="0.75" bottom="0.75" header="0.3" footer="0.3"/>
</x:worksheet>
</file>