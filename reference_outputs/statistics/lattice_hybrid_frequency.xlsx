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<sst xmlns="http://schemas.openxmlformats.org/spreadsheetml/2006/main" count="20" uniqueCount="11">
  <si>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Frequency: 4*4 shell</t>
  </si>
  <si>
    <t>Mode order</t>
  </si>
  <si>
    <t>Equivalent model (*1e-3)</t>
  </si>
  <si>
    <t>Fine model (*1e-3)</t>
  </si>
  <si>
    <t>error (%)</t>
  </si>
  <si>
    <t>m1</t>
  </si>
  <si>
    <t>m2</t>
  </si>
  <si>
    <t>m3</t>
  </si>
  <si>
    <t>m4</t>
  </si>
  <si>
    <t>m5</t>
  </si>
  <si>
    <t>Frequency: 4*4*4 3D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</si>
</sst>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I13" sqref="I13"/>
    </sheetView>
  </sheetViews>
  <sheetFormatPr defaultColWidth="9" defaultRowHeight="13.5" outlineLevelCol="3"/>
  <cols>
    <col min="1" max="1" width="15.125" customWidth="1"/>
    <col min="2" max="2" width="28.875" customWidth="1"/>
    <col min="3" max="3" width="25.125" customWidth="1"/>
    <col min="4" max="4" width="12.25" style="1" customWidth="1"/>
  </cols>
  <sheetData>
    <row r="1" spans="1:4">
      <c r="A1" s="2" t="s">
        <v>0</v>
      </c>
      <c r="B1" s="2"/>
      <c r="C1" s="2"/>
      <c r="D1" s="2"/>
    </row>
    <row r="2" spans="1:4">
      <c r="A2" t="s">
        <v>1</v>
      </c>
      <c r="B2" s="3" t="s">
        <v>2</v>
      </c>
      <c r="C2" s="3" t="s">
        <v>3</v>
      </c>
      <c r="D2" s="1" t="s">
        <v>4</v>
      </c>
    </row>
    <row r="3" spans="1:4">
      <c r="A3" t="s">
        <v>5</v>
      </c>
      <c r="B3">
        <v>1.1569</v>
      </c>
      <c r="C3">
        <v>1.209</v>
      </c>
      <c r="D3" s="1">
        <f t="shared" ref="D3:D7" si="0">ABS((C3-B3)/C3)*100</f>
        <v>4.30934656741109</v>
      </c>
    </row>
    <row r="4" spans="1:4">
      <c r="A4" t="s">
        <v>6</v>
      </c>
      <c r="B4">
        <v>3.2675</v>
      </c>
      <c r="C4">
        <v>3.3908</v>
      </c>
      <c r="D4" s="1">
        <f t="shared" si="0"/>
        <v>3.63631001533561</v>
      </c>
    </row>
    <row r="5" spans="1:4">
      <c r="A5" t="s">
        <v>7</v>
      </c>
      <c r="B5">
        <v>3.7585</v>
      </c>
      <c r="C5">
        <v>3.9075</v>
      </c>
      <c r="D5" s="1">
        <f t="shared" si="0"/>
        <v>3.81317978246961</v>
      </c>
    </row>
    <row r="6" spans="1:4">
      <c r="A6" t="s">
        <v>8</v>
      </c>
      <c r="B6">
        <v>6.4311</v>
      </c>
      <c r="C6">
        <v>6.8121</v>
      </c>
      <c r="D6" s="1">
        <f t="shared" si="0"/>
        <v>5.59298894613996</v>
      </c>
    </row>
    <row r="7" spans="1:4">
      <c r="A7" t="s">
        <v>9</v>
      </c>
      <c r="B7">
        <v>8.5033</v>
      </c>
      <c r="C7">
        <v>8.3685</v>
      </c>
      <c r="D7" s="1">
        <f t="shared" si="0"/>
        <v>1.61080241381371</v>
      </c>
    </row>
    <row r="9" spans="1:4">
      <c r="A9" s="2" t="s">
        <v>10</v>
      </c>
      <c r="B9" s="2"/>
      <c r="C9" s="2"/>
      <c r="D9" s="2"/>
    </row>
    <row r="10" spans="1:4">
      <c r="A10" t="s">
        <v>1</v>
      </c>
      <c r="B10" s="3" t="s">
        <v>2</v>
      </c>
      <c r="C10" s="3" t="s">
        <v>3</v>
      </c>
      <c r="D10" s="1" t="s">
        <v>4</v>
      </c>
    </row>
    <row r="11" spans="1:4">
      <c r="A11" t="s">
        <v>5</v>
      </c>
      <c r="B11">
        <v>5.1876</v>
      </c>
      <c r="C11">
        <v>5.4209</v>
      </c>
      <c r="D11" s="1">
        <f t="shared" ref="D6:D15" si="1">ABS((C11-B11)/C11)*100</f>
        <v>4.30371340552307</v>
      </c>
    </row>
    <row r="12" spans="1:4">
      <c r="A12" t="s">
        <v>6</v>
      </c>
      <c r="B12">
        <v>5.1876</v>
      </c>
      <c r="C12">
        <v>5.4209</v>
      </c>
      <c r="D12" s="1">
        <f t="shared" si="1"/>
        <v>4.30371340552307</v>
      </c>
    </row>
    <row r="13" spans="1:4">
      <c r="A13" t="s">
        <v>7</v>
      </c>
      <c r="B13">
        <v>7.3318</v>
      </c>
      <c r="C13">
        <v>7.7722</v>
      </c>
      <c r="D13" s="1">
        <f t="shared" si="1"/>
        <v>5.66634929620956</v>
      </c>
    </row>
    <row r="14" spans="1:4">
      <c r="A14" t="s">
        <v>8</v>
      </c>
      <c r="B14">
        <v>11.6875</v>
      </c>
      <c r="C14">
        <v>11.8855</v>
      </c>
      <c r="D14" s="1">
        <f t="shared" si="1"/>
        <v>1.6658954187876</v>
      </c>
    </row>
    <row r="15" spans="1:4">
      <c r="A15" t="s">
        <v>9</v>
      </c>
      <c r="B15">
        <v>12.9718</v>
      </c>
      <c r="C15">
        <v>13.2588</v>
      </c>
      <c r="D15" s="1">
        <f t="shared" si="1"/>
        <v>2.16460011464085</v>
      </c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  <row r="34" spans="4:4">
      <c r="D34"/>
    </row>
    <row r="35" spans="4:4">
      <c r="D35"/>
    </row>
  </sheetData>
  <mergeCells count="2">
    <mergeCell ref="A1:D1"/>
    <mergeCell ref="A9:D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刘志辉</dc:creator>
  <cp:lastModifiedBy>刘志辉</cp:lastModifiedBy>
  <dcterms:created xsi:type="dcterms:W3CDTF">2023-05-12T11:15:00Z</dcterms:created>
  <dcterms:modified xsi:type="dcterms:W3CDTF">2026-08-08T06:24:23Z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8D8A910F8DDC4BFDA34F219A1C111C8A_12</vt:lpwstr>
  </property>
  <property fmtid="{D5CDD505-2E9C-101B-9397-08002B2CF9AE}" pid="4" name="CalculationRule">
    <vt:i4>0</vt:i4>
  </property>
</Properties>
</file>