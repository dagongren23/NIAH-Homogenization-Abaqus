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Tidy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<sst xmlns="http://schemas.openxmlformats.org/spreadsheetml/2006/main" count="251" uniqueCount="43">
  <si>
    <t>Category_inp</t>
  </si>
  <si>
    <t>Category_EN</t>
  </si>
  <si>
    <t>Mode</t>
  </si>
  <si>
    <t>Computed_Label</t>
  </si>
  <si>
    <t>Reference_Label</t>
  </si>
  <si>
    <t>Computed</t>
  </si>
  <si>
    <t>Reference</t>
  </si>
  <si>
    <t>Relative_Error</t>
  </si>
  <si>
    <t>Cube_E1000</t>
  </si>
  <si>
    <t>Cube</t>
  </si>
  <si>
    <t>E11</t>
  </si>
  <si>
    <t>3D-NIAH</t>
  </si>
  <si>
    <t>Theory</t>
  </si>
  <si>
    <t>E22</t>
  </si>
  <si>
    <t>E33</t>
  </si>
  <si>
    <t>E44</t>
  </si>
  <si>
    <t>说明</t>
  </si>
  <si>
    <t>E55</t>
  </si>
  <si>
    <t>E66</t>
  </si>
  <si>
    <t>1) Relative_Error = ABS(Computed - Reference) / Reference。</t>
  </si>
  <si>
    <t>Cubic_center_solid</t>
  </si>
  <si>
    <t>Cubic center</t>
  </si>
  <si>
    <t>Literature</t>
  </si>
  <si>
    <t>2) Missing values are represented by blank spaces (represented by "-" in the original image).</t>
  </si>
  <si>
    <t>Octet_beam</t>
  </si>
  <si>
    <t>Octet</t>
  </si>
  <si>
    <t>Plate_T73926</t>
  </si>
  <si>
    <t>Rectangular plate</t>
  </si>
  <si>
    <t>A11</t>
  </si>
  <si>
    <t>plate-NIAH</t>
  </si>
  <si>
    <t>A22</t>
  </si>
  <si>
    <t>A12</t>
  </si>
  <si>
    <t>A66</t>
  </si>
  <si>
    <t>Q11</t>
  </si>
  <si>
    <t>D11</t>
  </si>
  <si>
    <t>D22</t>
  </si>
  <si>
    <t>D12</t>
  </si>
  <si>
    <t>D66</t>
  </si>
  <si>
    <t>Q22</t>
  </si>
  <si>
    <t>Hexagonal_honeycomb_shell</t>
  </si>
  <si>
    <t>Hexagonal honeycomb</t>
  </si>
  <si>
    <t>Truss_sandwich_solid</t>
  </si>
  <si>
    <t>Bridge sandwich 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</si>
</sst>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color rgb="FF0000FF"/>
      <name val="Arial"/>
      <charset val="134"/>
    </font>
    <font>
      <sz val="10"/>
      <color rgb="FF008000"/>
      <name val="Arial"/>
      <charset val="134"/>
    </font>
    <font>
      <b/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Font="1" applyFill="1" applyAlignment="1">
      <alignment horizontal="center"/>
    </xf>
    <xf numFmtId="0" fontId="2" fillId="0" borderId="0" xfId="49" applyFont="1"/>
    <xf numFmtId="0" fontId="3" fillId="0" borderId="0" xfId="49" applyFont="1"/>
    <xf numFmtId="0" fontId="4" fillId="0" borderId="0" xfId="49" applyFont="1"/>
    <xf numFmtId="11" fontId="3" fillId="0" borderId="0" xfId="49" applyNumberFormat="1" applyFont="1"/>
    <xf numFmtId="11" fontId="4" fillId="0" borderId="0" xfId="49" applyNumberFormat="1" applyFont="1"/>
    <xf numFmtId="10" fontId="0" fillId="0" borderId="0" xfId="49" applyNumberFormat="1"/>
    <xf numFmtId="0" fontId="5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showGridLines="0" tabSelected="1" zoomScale="145" zoomScaleNormal="145" workbookViewId="0">
      <selection activeCell="A2" sqref="A2:A49"/>
    </sheetView>
  </sheetViews>
  <sheetFormatPr defaultColWidth="9" defaultRowHeight="15"/>
  <cols>
    <col min="1" max="1" width="30.0380952380952" customWidth="1"/>
    <col min="2" max="2" width="24" customWidth="1"/>
    <col min="3" max="3" width="10" customWidth="1"/>
    <col min="4" max="8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 t="s">
        <v>8</v>
      </c>
      <c r="B2" s="2" t="s">
        <v>9</v>
      </c>
      <c r="C2" s="2" t="s">
        <v>10</v>
      </c>
      <c r="D2" s="3" t="s">
        <v>11</v>
      </c>
      <c r="E2" s="4" t="s">
        <v>12</v>
      </c>
      <c r="F2" s="5">
        <v>1.346153855324</v>
      </c>
      <c r="G2" s="6">
        <v>1.35</v>
      </c>
      <c r="H2" s="7">
        <f>IF(G2=0,"",ABS(F2-G2)/G2)</f>
        <v>0.00284899605629636</v>
      </c>
    </row>
    <row r="3" spans="1:10">
      <c r="A3" s="2" t="s">
        <v>8</v>
      </c>
      <c r="B3" s="2" t="s">
        <v>9</v>
      </c>
      <c r="C3" s="2" t="s">
        <v>13</v>
      </c>
      <c r="D3" s="3" t="s">
        <v>11</v>
      </c>
      <c r="E3" s="4" t="s">
        <v>12</v>
      </c>
      <c r="F3" s="5">
        <v>1.346153855324</v>
      </c>
      <c r="G3" s="6">
        <v>1.35</v>
      </c>
      <c r="H3" s="7">
        <f>IF(G3=0,"",ABS(F3-G3)/G3)</f>
        <v>0.00284899605629636</v>
      </c>
    </row>
    <row r="4" spans="1:10">
      <c r="A4" s="2" t="s">
        <v>8</v>
      </c>
      <c r="B4" s="2" t="s">
        <v>9</v>
      </c>
      <c r="C4" s="2" t="s">
        <v>14</v>
      </c>
      <c r="D4" s="3" t="s">
        <v>11</v>
      </c>
      <c r="E4" s="4" t="s">
        <v>12</v>
      </c>
      <c r="F4" s="5">
        <v>1.346153855324</v>
      </c>
      <c r="G4" s="6">
        <v>1.35</v>
      </c>
      <c r="H4" s="7">
        <f t="shared" ref="H2:H33" si="0">IF(G4=0,"",ABS(F4-G4)/G4)</f>
        <v>0.00284899605629636</v>
      </c>
    </row>
    <row r="5" ht="15.75" spans="1:10">
      <c r="A5" s="2" t="s">
        <v>8</v>
      </c>
      <c r="B5" s="2" t="s">
        <v>9</v>
      </c>
      <c r="C5" s="2" t="s">
        <v>15</v>
      </c>
      <c r="D5" s="3" t="s">
        <v>11</v>
      </c>
      <c r="E5" s="4" t="s">
        <v>12</v>
      </c>
      <c r="F5" s="5">
        <v>0.384615391493</v>
      </c>
      <c r="G5" s="6">
        <v>0.38</v>
      </c>
      <c r="H5" s="7">
        <f t="shared" si="0"/>
        <v>0.0121457670868421</v>
      </c>
      <c r="J5" s="8" t="s">
        <v>16</v>
      </c>
    </row>
    <row r="6" spans="1:10">
      <c r="A6" s="2" t="s">
        <v>8</v>
      </c>
      <c r="B6" s="2" t="s">
        <v>9</v>
      </c>
      <c r="C6" s="2" t="s">
        <v>17</v>
      </c>
      <c r="D6" s="3" t="s">
        <v>11</v>
      </c>
      <c r="E6" s="4" t="s">
        <v>12</v>
      </c>
      <c r="F6" s="5">
        <v>0.384615391493</v>
      </c>
      <c r="G6" s="6">
        <v>0.38</v>
      </c>
      <c r="H6" s="7">
        <f t="shared" si="0"/>
        <v>0.0121457670868421</v>
      </c>
    </row>
    <row r="7" spans="1:10">
      <c r="A7" s="2" t="s">
        <v>8</v>
      </c>
      <c r="B7" s="2" t="s">
        <v>9</v>
      </c>
      <c r="C7" s="2" t="s">
        <v>18</v>
      </c>
      <c r="D7" s="3" t="s">
        <v>11</v>
      </c>
      <c r="E7" s="4" t="s">
        <v>12</v>
      </c>
      <c r="F7" s="5">
        <v>0.384615391493</v>
      </c>
      <c r="G7" s="6">
        <v>0.38</v>
      </c>
      <c r="H7" s="7">
        <f t="shared" si="0"/>
        <v>0.0121457670868421</v>
      </c>
      <c r="J7" t="s">
        <v>19</v>
      </c>
    </row>
    <row r="8" spans="1:10">
      <c r="A8" s="2" t="s">
        <v>20</v>
      </c>
      <c r="B8" s="2" t="s">
        <v>21</v>
      </c>
      <c r="C8" s="2" t="s">
        <v>10</v>
      </c>
      <c r="D8" s="3" t="s">
        <v>11</v>
      </c>
      <c r="E8" s="4" t="s">
        <v>22</v>
      </c>
      <c r="F8" s="5">
        <v>0.076345419241</v>
      </c>
      <c r="G8" s="6">
        <v>0.077</v>
      </c>
      <c r="H8" s="7">
        <f t="shared" si="0"/>
        <v>0.00850104881818186</v>
      </c>
      <c r="J8" t="s">
        <v>23</v>
      </c>
    </row>
    <row r="9" spans="1:10">
      <c r="A9" s="2" t="s">
        <v>20</v>
      </c>
      <c r="B9" s="2" t="s">
        <v>21</v>
      </c>
      <c r="C9" s="2" t="s">
        <v>13</v>
      </c>
      <c r="D9" s="3" t="s">
        <v>11</v>
      </c>
      <c r="E9" s="4" t="s">
        <v>22</v>
      </c>
      <c r="F9" s="5">
        <v>0.076395268348</v>
      </c>
      <c r="G9" s="6">
        <v>0.077</v>
      </c>
      <c r="H9" s="7">
        <f t="shared" si="0"/>
        <v>0.00785365781818173</v>
      </c>
    </row>
    <row r="10" spans="1:10">
      <c r="A10" s="2" t="s">
        <v>20</v>
      </c>
      <c r="B10" s="2" t="s">
        <v>21</v>
      </c>
      <c r="C10" s="2" t="s">
        <v>14</v>
      </c>
      <c r="D10" s="3" t="s">
        <v>11</v>
      </c>
      <c r="E10" s="4" t="s">
        <v>22</v>
      </c>
      <c r="F10" s="5">
        <v>0.076457648121</v>
      </c>
      <c r="G10" s="6">
        <v>0.077</v>
      </c>
      <c r="H10" s="7">
        <f t="shared" si="0"/>
        <v>0.00704353089610382</v>
      </c>
    </row>
    <row r="11" spans="1:10">
      <c r="A11" s="2" t="s">
        <v>20</v>
      </c>
      <c r="B11" s="2" t="s">
        <v>21</v>
      </c>
      <c r="C11" s="2" t="s">
        <v>15</v>
      </c>
      <c r="D11" s="3" t="s">
        <v>11</v>
      </c>
      <c r="E11" s="4" t="s">
        <v>22</v>
      </c>
      <c r="F11" s="5">
        <v>0.030336867296</v>
      </c>
      <c r="G11" s="6">
        <v>0.03</v>
      </c>
      <c r="H11" s="7">
        <f t="shared" si="0"/>
        <v>0.0112289098666667</v>
      </c>
    </row>
    <row r="12" spans="1:10">
      <c r="A12" s="2" t="s">
        <v>20</v>
      </c>
      <c r="B12" s="2" t="s">
        <v>21</v>
      </c>
      <c r="C12" s="2" t="s">
        <v>17</v>
      </c>
      <c r="D12" s="3" t="s">
        <v>11</v>
      </c>
      <c r="E12" s="4" t="s">
        <v>22</v>
      </c>
      <c r="F12" s="5">
        <v>0.030351587793</v>
      </c>
      <c r="G12" s="6">
        <v>0.03</v>
      </c>
      <c r="H12" s="7">
        <f t="shared" si="0"/>
        <v>0.0117195931</v>
      </c>
    </row>
    <row r="13" spans="1:10">
      <c r="A13" s="2" t="s">
        <v>20</v>
      </c>
      <c r="B13" s="2" t="s">
        <v>21</v>
      </c>
      <c r="C13" s="2" t="s">
        <v>18</v>
      </c>
      <c r="D13" s="3" t="s">
        <v>11</v>
      </c>
      <c r="E13" s="4" t="s">
        <v>22</v>
      </c>
      <c r="F13" s="5">
        <v>0.030331925532</v>
      </c>
      <c r="G13" s="6">
        <v>0.03</v>
      </c>
      <c r="H13" s="7">
        <f t="shared" si="0"/>
        <v>0.0110641844</v>
      </c>
    </row>
    <row r="14" spans="1:10">
      <c r="A14" s="2" t="s">
        <v>24</v>
      </c>
      <c r="B14" s="2" t="s">
        <v>25</v>
      </c>
      <c r="C14" s="2" t="s">
        <v>10</v>
      </c>
      <c r="D14" s="3" t="s">
        <v>11</v>
      </c>
      <c r="E14" s="4" t="s">
        <v>22</v>
      </c>
      <c r="F14" s="5">
        <v>0.009433796525</v>
      </c>
      <c r="G14" s="6">
        <v>0.0093</v>
      </c>
      <c r="H14" s="7">
        <f t="shared" si="0"/>
        <v>0.0143867231182796</v>
      </c>
    </row>
    <row r="15" spans="1:10">
      <c r="A15" s="2" t="s">
        <v>24</v>
      </c>
      <c r="B15" s="2" t="s">
        <v>25</v>
      </c>
      <c r="C15" s="2" t="s">
        <v>13</v>
      </c>
      <c r="D15" s="3" t="s">
        <v>11</v>
      </c>
      <c r="E15" s="4" t="s">
        <v>22</v>
      </c>
      <c r="F15" s="5">
        <v>0.009433542823</v>
      </c>
      <c r="G15" s="6">
        <v>0.0093</v>
      </c>
      <c r="H15" s="7">
        <f t="shared" si="0"/>
        <v>0.0143594433333333</v>
      </c>
    </row>
    <row r="16" spans="1:10">
      <c r="A16" s="2" t="s">
        <v>24</v>
      </c>
      <c r="B16" s="2" t="s">
        <v>25</v>
      </c>
      <c r="C16" s="2" t="s">
        <v>14</v>
      </c>
      <c r="D16" s="3" t="s">
        <v>11</v>
      </c>
      <c r="E16" s="4" t="s">
        <v>22</v>
      </c>
      <c r="F16" s="5">
        <v>0.007119943503</v>
      </c>
      <c r="G16" s="6">
        <v>0.007</v>
      </c>
      <c r="H16" s="7">
        <f t="shared" si="0"/>
        <v>0.0171347861428572</v>
      </c>
    </row>
    <row r="17" spans="1:8">
      <c r="A17" s="2" t="s">
        <v>24</v>
      </c>
      <c r="B17" s="2" t="s">
        <v>25</v>
      </c>
      <c r="C17" s="2" t="s">
        <v>15</v>
      </c>
      <c r="D17" s="3" t="s">
        <v>11</v>
      </c>
      <c r="E17" s="4" t="s">
        <v>22</v>
      </c>
      <c r="F17" s="5">
        <v>0.003872608095</v>
      </c>
      <c r="G17" s="6">
        <v>0.0038</v>
      </c>
      <c r="H17" s="7">
        <f t="shared" si="0"/>
        <v>0.0191073934210527</v>
      </c>
    </row>
    <row r="18" spans="1:8">
      <c r="A18" s="2" t="s">
        <v>24</v>
      </c>
      <c r="B18" s="2" t="s">
        <v>25</v>
      </c>
      <c r="C18" s="2" t="s">
        <v>17</v>
      </c>
      <c r="D18" s="3" t="s">
        <v>11</v>
      </c>
      <c r="E18" s="4" t="s">
        <v>22</v>
      </c>
      <c r="F18" s="5">
        <v>0.003872880861</v>
      </c>
      <c r="G18" s="6">
        <v>0.0038</v>
      </c>
      <c r="H18" s="7">
        <f t="shared" si="0"/>
        <v>0.0191791739473684</v>
      </c>
    </row>
    <row r="19" spans="1:8">
      <c r="A19" s="2" t="s">
        <v>24</v>
      </c>
      <c r="B19" s="2" t="s">
        <v>25</v>
      </c>
      <c r="C19" s="2" t="s">
        <v>18</v>
      </c>
      <c r="D19" s="3" t="s">
        <v>11</v>
      </c>
      <c r="E19" s="4" t="s">
        <v>22</v>
      </c>
      <c r="F19" s="5">
        <v>0.005574408242</v>
      </c>
      <c r="G19" s="6">
        <v>0.0055</v>
      </c>
      <c r="H19" s="7">
        <f t="shared" si="0"/>
        <v>0.0135287712727274</v>
      </c>
    </row>
    <row r="20" spans="1:8">
      <c r="A20" s="2" t="s">
        <v>26</v>
      </c>
      <c r="B20" s="2" t="s">
        <v>27</v>
      </c>
      <c r="C20" s="2" t="s">
        <v>28</v>
      </c>
      <c r="D20" s="3" t="s">
        <v>29</v>
      </c>
      <c r="E20" s="4" t="s">
        <v>12</v>
      </c>
      <c r="F20" s="5">
        <v>0.1098901114881</v>
      </c>
      <c r="G20" s="6">
        <v>0.10989</v>
      </c>
      <c r="H20" s="7">
        <f t="shared" si="0"/>
        <v>1.01454272456042e-6</v>
      </c>
    </row>
    <row r="21" spans="1:8">
      <c r="A21" s="2" t="s">
        <v>26</v>
      </c>
      <c r="B21" s="2" t="s">
        <v>27</v>
      </c>
      <c r="C21" s="2" t="s">
        <v>30</v>
      </c>
      <c r="D21" s="3" t="s">
        <v>29</v>
      </c>
      <c r="E21" s="4" t="s">
        <v>12</v>
      </c>
      <c r="F21" s="5">
        <v>0.1098901114881</v>
      </c>
      <c r="G21" s="6">
        <v>0.10989</v>
      </c>
      <c r="H21" s="7">
        <f t="shared" si="0"/>
        <v>1.01454272456042e-6</v>
      </c>
    </row>
    <row r="22" spans="1:8">
      <c r="A22" s="2" t="s">
        <v>26</v>
      </c>
      <c r="B22" s="2" t="s">
        <v>27</v>
      </c>
      <c r="C22" s="2" t="s">
        <v>31</v>
      </c>
      <c r="D22" s="3" t="s">
        <v>29</v>
      </c>
      <c r="E22" s="4" t="s">
        <v>12</v>
      </c>
      <c r="F22" s="5">
        <v>0.03296703334647</v>
      </c>
      <c r="G22" s="6">
        <v>0.032967</v>
      </c>
      <c r="H22" s="7">
        <f t="shared" si="0"/>
        <v>1.01151060135992e-6</v>
      </c>
    </row>
    <row r="23" spans="1:8">
      <c r="A23" s="2" t="s">
        <v>26</v>
      </c>
      <c r="B23" s="2" t="s">
        <v>27</v>
      </c>
      <c r="C23" s="2" t="s">
        <v>32</v>
      </c>
      <c r="D23" s="3" t="s">
        <v>29</v>
      </c>
      <c r="E23" s="4" t="s">
        <v>12</v>
      </c>
      <c r="F23" s="5">
        <v>0.0384615391315</v>
      </c>
      <c r="G23" s="6">
        <v>0.0384615</v>
      </c>
      <c r="H23" s="7">
        <f t="shared" si="0"/>
        <v>1.01742001738568e-6</v>
      </c>
    </row>
    <row r="24" spans="1:8">
      <c r="A24" s="2" t="s">
        <v>26</v>
      </c>
      <c r="B24" s="2" t="s">
        <v>27</v>
      </c>
      <c r="C24" s="2" t="s">
        <v>33</v>
      </c>
      <c r="D24" s="3" t="s">
        <v>29</v>
      </c>
      <c r="E24" s="4" t="s">
        <v>12</v>
      </c>
      <c r="F24" s="5">
        <v>0.03284267694263</v>
      </c>
      <c r="G24" s="6">
        <v>0.03205128</v>
      </c>
      <c r="H24" s="7">
        <f t="shared" si="0"/>
        <v>0.0246915861903176</v>
      </c>
    </row>
    <row r="25" spans="1:8">
      <c r="A25" s="2" t="s">
        <v>26</v>
      </c>
      <c r="B25" s="2" t="s">
        <v>27</v>
      </c>
      <c r="C25" s="2" t="s">
        <v>34</v>
      </c>
      <c r="D25" s="3" t="s">
        <v>29</v>
      </c>
      <c r="E25" s="4" t="s">
        <v>12</v>
      </c>
      <c r="F25" s="5">
        <v>8.905650875112e-5</v>
      </c>
      <c r="G25" s="6">
        <v>9.1575e-5</v>
      </c>
      <c r="H25" s="7">
        <f t="shared" si="0"/>
        <v>0.0275019519397215</v>
      </c>
    </row>
    <row r="26" spans="1:8">
      <c r="A26" s="2" t="s">
        <v>26</v>
      </c>
      <c r="B26" s="2" t="s">
        <v>27</v>
      </c>
      <c r="C26" s="2" t="s">
        <v>35</v>
      </c>
      <c r="D26" s="3" t="s">
        <v>29</v>
      </c>
      <c r="E26" s="4" t="s">
        <v>12</v>
      </c>
      <c r="F26" s="5">
        <v>8.9056508729e-5</v>
      </c>
      <c r="G26" s="6">
        <v>9.1575e-5</v>
      </c>
      <c r="H26" s="7">
        <f t="shared" si="0"/>
        <v>0.0275019521812722</v>
      </c>
    </row>
    <row r="27" spans="1:8">
      <c r="A27" s="2" t="s">
        <v>26</v>
      </c>
      <c r="B27" s="2" t="s">
        <v>27</v>
      </c>
      <c r="C27" s="2" t="s">
        <v>36</v>
      </c>
      <c r="D27" s="3" t="s">
        <v>29</v>
      </c>
      <c r="E27" s="4" t="s">
        <v>12</v>
      </c>
      <c r="F27" s="5">
        <v>2.670937967578e-5</v>
      </c>
      <c r="G27" s="6">
        <v>2.747253e-5</v>
      </c>
      <c r="H27" s="7">
        <f t="shared" si="0"/>
        <v>0.0277786692459704</v>
      </c>
    </row>
    <row r="28" spans="1:8">
      <c r="A28" s="2" t="s">
        <v>26</v>
      </c>
      <c r="B28" s="2" t="s">
        <v>27</v>
      </c>
      <c r="C28" s="2" t="s">
        <v>37</v>
      </c>
      <c r="D28" s="3" t="s">
        <v>29</v>
      </c>
      <c r="E28" s="4" t="s">
        <v>12</v>
      </c>
      <c r="F28" s="5">
        <v>3.118215970662e-5</v>
      </c>
      <c r="G28" s="6">
        <v>3.205128e-5</v>
      </c>
      <c r="H28" s="7">
        <f t="shared" si="0"/>
        <v>0.0271165548889156</v>
      </c>
    </row>
    <row r="29" spans="1:8">
      <c r="A29" s="2" t="s">
        <v>26</v>
      </c>
      <c r="B29" s="2" t="s">
        <v>27</v>
      </c>
      <c r="C29" s="2" t="s">
        <v>38</v>
      </c>
      <c r="D29" s="3" t="s">
        <v>29</v>
      </c>
      <c r="E29" s="4" t="s">
        <v>12</v>
      </c>
      <c r="F29" s="5">
        <v>0.03284284453724</v>
      </c>
      <c r="G29" s="6">
        <v>0.03205128</v>
      </c>
      <c r="H29" s="7">
        <f t="shared" si="0"/>
        <v>0.0246968151424841</v>
      </c>
    </row>
    <row r="30" spans="1:8">
      <c r="A30" s="2" t="s">
        <v>39</v>
      </c>
      <c r="B30" s="2" t="s">
        <v>40</v>
      </c>
      <c r="C30" s="2" t="s">
        <v>28</v>
      </c>
      <c r="D30" s="3" t="s">
        <v>29</v>
      </c>
      <c r="E30" s="4" t="s">
        <v>22</v>
      </c>
      <c r="F30" s="5">
        <v>0.008740412752283</v>
      </c>
      <c r="G30" s="6">
        <v>0.00863</v>
      </c>
      <c r="H30" s="7">
        <f t="shared" si="0"/>
        <v>0.0127940616782154</v>
      </c>
    </row>
    <row r="31" spans="1:8">
      <c r="A31" s="2" t="s">
        <v>39</v>
      </c>
      <c r="B31" s="2" t="s">
        <v>40</v>
      </c>
      <c r="C31" s="2" t="s">
        <v>30</v>
      </c>
      <c r="D31" s="3" t="s">
        <v>29</v>
      </c>
      <c r="E31" s="4" t="s">
        <v>22</v>
      </c>
      <c r="F31" s="5">
        <v>0.008566653393975</v>
      </c>
      <c r="G31" s="6">
        <v>0.00861</v>
      </c>
      <c r="H31" s="7">
        <f t="shared" si="0"/>
        <v>0.00503444901567932</v>
      </c>
    </row>
    <row r="32" spans="1:8">
      <c r="A32" s="2" t="s">
        <v>39</v>
      </c>
      <c r="B32" s="2" t="s">
        <v>40</v>
      </c>
      <c r="C32" s="2" t="s">
        <v>31</v>
      </c>
      <c r="D32" s="3" t="s">
        <v>29</v>
      </c>
      <c r="E32" s="4" t="s">
        <v>22</v>
      </c>
      <c r="F32" s="5">
        <v>0.008633896753865</v>
      </c>
      <c r="G32" s="6">
        <v>0.0086</v>
      </c>
      <c r="H32" s="7">
        <f t="shared" si="0"/>
        <v>0.00394148300755816</v>
      </c>
    </row>
    <row r="33" spans="1:8">
      <c r="A33" s="2" t="s">
        <v>39</v>
      </c>
      <c r="B33" s="2" t="s">
        <v>40</v>
      </c>
      <c r="C33" s="2" t="s">
        <v>32</v>
      </c>
      <c r="D33" s="3" t="s">
        <v>29</v>
      </c>
      <c r="E33" s="4" t="s">
        <v>22</v>
      </c>
      <c r="F33" s="5">
        <v>2.242152664672e-5</v>
      </c>
      <c r="G33" s="6">
        <v>2.29e-5</v>
      </c>
      <c r="H33" s="7">
        <f t="shared" si="0"/>
        <v>0.0208940328943232</v>
      </c>
    </row>
    <row r="34" spans="1:8">
      <c r="A34" s="2" t="s">
        <v>39</v>
      </c>
      <c r="B34" s="2" t="s">
        <v>40</v>
      </c>
      <c r="C34" s="2" t="s">
        <v>33</v>
      </c>
      <c r="D34" s="3" t="s">
        <v>29</v>
      </c>
      <c r="E34" s="4" t="s">
        <v>22</v>
      </c>
      <c r="F34" s="3"/>
      <c r="G34" s="4"/>
    </row>
    <row r="35" spans="1:8">
      <c r="A35" s="2" t="s">
        <v>39</v>
      </c>
      <c r="B35" s="2" t="s">
        <v>40</v>
      </c>
      <c r="C35" s="2" t="s">
        <v>34</v>
      </c>
      <c r="D35" s="3" t="s">
        <v>29</v>
      </c>
      <c r="E35" s="4" t="s">
        <v>22</v>
      </c>
      <c r="F35" s="5">
        <v>0.0007284076774979</v>
      </c>
      <c r="G35" s="6">
        <v>0.00072</v>
      </c>
      <c r="H35" s="7">
        <f>IF(G35=0,"",ABS(F35-G35)/G35)</f>
        <v>0.0116773298581944</v>
      </c>
    </row>
    <row r="36" spans="1:8">
      <c r="A36" s="2" t="s">
        <v>39</v>
      </c>
      <c r="B36" s="2" t="s">
        <v>40</v>
      </c>
      <c r="C36" s="2" t="s">
        <v>35</v>
      </c>
      <c r="D36" s="3" t="s">
        <v>29</v>
      </c>
      <c r="E36" s="4" t="s">
        <v>22</v>
      </c>
      <c r="F36" s="5">
        <v>0.0007099864766309</v>
      </c>
      <c r="G36" s="6">
        <v>0.000713</v>
      </c>
      <c r="H36" s="7">
        <f>IF(G36=0,"",ABS(F36-G36)/G36)</f>
        <v>0.00422654048962127</v>
      </c>
    </row>
    <row r="37" spans="1:8">
      <c r="A37" s="2" t="s">
        <v>39</v>
      </c>
      <c r="B37" s="2" t="s">
        <v>40</v>
      </c>
      <c r="C37" s="2" t="s">
        <v>36</v>
      </c>
      <c r="D37" s="3" t="s">
        <v>29</v>
      </c>
      <c r="E37" s="4" t="s">
        <v>22</v>
      </c>
      <c r="F37" s="5">
        <v>0.0007072965202504</v>
      </c>
      <c r="G37" s="6">
        <v>0.000705</v>
      </c>
      <c r="H37" s="7">
        <f>IF(G37=0,"",ABS(F37-G37)/G37)</f>
        <v>0.00325747553248226</v>
      </c>
    </row>
    <row r="38" spans="1:8">
      <c r="A38" s="2" t="s">
        <v>39</v>
      </c>
      <c r="B38" s="2" t="s">
        <v>40</v>
      </c>
      <c r="C38" s="2" t="s">
        <v>37</v>
      </c>
      <c r="D38" s="3" t="s">
        <v>29</v>
      </c>
      <c r="E38" s="4" t="s">
        <v>22</v>
      </c>
      <c r="F38" s="5">
        <v>2.691287515853e-5</v>
      </c>
      <c r="G38" s="6">
        <v>3.17e-5</v>
      </c>
      <c r="H38" s="7">
        <f>IF(G38=0,"",ABS(F38-G38)/G38)</f>
        <v>0.151013401939117</v>
      </c>
    </row>
    <row r="39" spans="1:8">
      <c r="A39" s="2" t="s">
        <v>39</v>
      </c>
      <c r="B39" s="2" t="s">
        <v>40</v>
      </c>
      <c r="C39" s="2" t="s">
        <v>38</v>
      </c>
      <c r="D39" s="3" t="s">
        <v>29</v>
      </c>
      <c r="E39" s="4" t="s">
        <v>22</v>
      </c>
      <c r="F39" s="3"/>
      <c r="G39" s="4"/>
    </row>
    <row r="40" spans="1:8">
      <c r="A40" s="2" t="s">
        <v>41</v>
      </c>
      <c r="B40" s="2" t="s">
        <v>42</v>
      </c>
      <c r="C40" s="2" t="s">
        <v>28</v>
      </c>
      <c r="D40" s="3" t="s">
        <v>29</v>
      </c>
      <c r="E40" s="4" t="s">
        <v>22</v>
      </c>
      <c r="F40" s="5">
        <v>1364167.052787</v>
      </c>
      <c r="G40" s="6">
        <v>1364200</v>
      </c>
      <c r="H40" s="7">
        <f t="shared" ref="H40:H49" si="1">IF(G40=0,"",ABS(F40-G40)/G40)</f>
        <v>2.41513069930505e-5</v>
      </c>
    </row>
    <row r="41" spans="1:8">
      <c r="A41" s="2" t="s">
        <v>41</v>
      </c>
      <c r="B41" s="2" t="s">
        <v>42</v>
      </c>
      <c r="C41" s="2" t="s">
        <v>30</v>
      </c>
      <c r="D41" s="3" t="s">
        <v>29</v>
      </c>
      <c r="E41" s="4" t="s">
        <v>22</v>
      </c>
      <c r="F41" s="5">
        <v>1692495.032135</v>
      </c>
      <c r="G41" s="6">
        <v>1692500</v>
      </c>
      <c r="H41" s="7">
        <f t="shared" si="1"/>
        <v>2.93522304284388e-6</v>
      </c>
    </row>
    <row r="42" spans="1:8">
      <c r="A42" s="2" t="s">
        <v>41</v>
      </c>
      <c r="B42" s="2" t="s">
        <v>42</v>
      </c>
      <c r="C42" s="2" t="s">
        <v>31</v>
      </c>
      <c r="D42" s="3" t="s">
        <v>29</v>
      </c>
      <c r="E42" s="4" t="s">
        <v>22</v>
      </c>
      <c r="F42" s="5">
        <v>409250.0842515</v>
      </c>
      <c r="G42" s="6">
        <v>409270</v>
      </c>
      <c r="H42" s="7">
        <f t="shared" si="1"/>
        <v>4.86616377940581e-5</v>
      </c>
    </row>
    <row r="43" spans="1:8">
      <c r="A43" s="2" t="s">
        <v>41</v>
      </c>
      <c r="B43" s="2" t="s">
        <v>42</v>
      </c>
      <c r="C43" s="2" t="s">
        <v>32</v>
      </c>
      <c r="D43" s="3" t="s">
        <v>29</v>
      </c>
      <c r="E43" s="4" t="s">
        <v>22</v>
      </c>
      <c r="F43" s="5">
        <v>480160.4176536</v>
      </c>
      <c r="G43" s="6">
        <v>480090</v>
      </c>
      <c r="H43" s="7">
        <f t="shared" si="1"/>
        <v>0.000146675943260611</v>
      </c>
    </row>
    <row r="44" spans="1:8">
      <c r="A44" s="2" t="s">
        <v>41</v>
      </c>
      <c r="B44" s="2" t="s">
        <v>42</v>
      </c>
      <c r="C44" s="2" t="s">
        <v>33</v>
      </c>
      <c r="D44" s="3" t="s">
        <v>29</v>
      </c>
      <c r="E44" s="4" t="s">
        <v>22</v>
      </c>
      <c r="F44" s="5">
        <v>2458.394592342</v>
      </c>
      <c r="G44" s="6">
        <v>2402.9</v>
      </c>
      <c r="H44" s="7">
        <f t="shared" si="1"/>
        <v>0.0230948405435099</v>
      </c>
    </row>
    <row r="45" spans="1:8">
      <c r="A45" s="2" t="s">
        <v>41</v>
      </c>
      <c r="B45" s="2" t="s">
        <v>42</v>
      </c>
      <c r="C45" s="2" t="s">
        <v>34</v>
      </c>
      <c r="D45" s="3" t="s">
        <v>29</v>
      </c>
      <c r="E45" s="4" t="s">
        <v>22</v>
      </c>
      <c r="F45" s="5">
        <v>307677846.2476</v>
      </c>
      <c r="G45" s="6">
        <v>307700000</v>
      </c>
      <c r="H45" s="7">
        <f t="shared" si="1"/>
        <v>7.19978953525545e-5</v>
      </c>
    </row>
    <row r="46" spans="1:8">
      <c r="A46" s="2" t="s">
        <v>41</v>
      </c>
      <c r="B46" s="2" t="s">
        <v>42</v>
      </c>
      <c r="C46" s="2" t="s">
        <v>35</v>
      </c>
      <c r="D46" s="3" t="s">
        <v>29</v>
      </c>
      <c r="E46" s="4" t="s">
        <v>22</v>
      </c>
      <c r="F46" s="5">
        <v>326991495.1335</v>
      </c>
      <c r="G46" s="6">
        <v>326990000</v>
      </c>
      <c r="H46" s="7">
        <f t="shared" si="1"/>
        <v>4.57241352940449e-6</v>
      </c>
    </row>
    <row r="47" spans="1:8">
      <c r="A47" s="2" t="s">
        <v>41</v>
      </c>
      <c r="B47" s="2" t="s">
        <v>42</v>
      </c>
      <c r="C47" s="2" t="s">
        <v>36</v>
      </c>
      <c r="D47" s="3" t="s">
        <v>29</v>
      </c>
      <c r="E47" s="4" t="s">
        <v>22</v>
      </c>
      <c r="F47" s="5">
        <v>92303351.45257</v>
      </c>
      <c r="G47" s="6">
        <v>92309000</v>
      </c>
      <c r="H47" s="7">
        <f t="shared" si="1"/>
        <v>6.119173027542e-5</v>
      </c>
    </row>
    <row r="48" spans="1:8">
      <c r="A48" s="2" t="s">
        <v>41</v>
      </c>
      <c r="B48" s="2" t="s">
        <v>42</v>
      </c>
      <c r="C48" s="2" t="s">
        <v>37</v>
      </c>
      <c r="D48" s="3" t="s">
        <v>29</v>
      </c>
      <c r="E48" s="4" t="s">
        <v>22</v>
      </c>
      <c r="F48" s="5">
        <v>108169172.1693</v>
      </c>
      <c r="G48" s="6">
        <v>108160000</v>
      </c>
      <c r="H48" s="7">
        <f t="shared" si="1"/>
        <v>8.48018611317016e-5</v>
      </c>
    </row>
    <row r="49" spans="1:8">
      <c r="A49" s="2" t="s">
        <v>41</v>
      </c>
      <c r="B49" s="2" t="s">
        <v>42</v>
      </c>
      <c r="C49" s="2" t="s">
        <v>38</v>
      </c>
      <c r="D49" s="3" t="s">
        <v>29</v>
      </c>
      <c r="E49" s="4" t="s">
        <v>22</v>
      </c>
      <c r="F49" s="5">
        <v>122733.9305755</v>
      </c>
      <c r="G49" s="6">
        <v>122920</v>
      </c>
      <c r="H49" s="7">
        <f t="shared" si="1"/>
        <v>0.00151374409778722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Tidy_Data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刘志辉</cp:lastModifiedBy>
  <dcterms:created xsi:type="dcterms:W3CDTF">2026-04-06T08:07:00Z</dcterms:created>
  <dcterms:modified xsi:type="dcterms:W3CDTF">2026-08-08T06:23:16Z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930B3E7F7AFB45BD9D3048FDBA8A2CA1_12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